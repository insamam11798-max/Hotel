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P&amp;L DEPT" state="visible" r:id="rId5"/>
    <sheet sheetId="3" name="Manager Flash" state="visible" r:id="rId6"/>
    <sheet sheetId="4" name="STR Monthly" state="visible" r:id="rId7"/>
    <sheet sheetId="5" name="STR Daily" state="visible" r:id="rId8"/>
    <sheet sheetId="6" name="PAYROLL SUMMARY MTD" state="visible" r:id="rId9"/>
    <sheet sheetId="7" name="HR STATISTICS" state="visible" r:id="rId10"/>
    <sheet sheetId="8" name="MKTSEG" state="visible" r:id="rId11"/>
    <sheet sheetId="9" name="CHANNELS" state="visible" r:id="rId12"/>
    <sheet sheetId="10" name="Long Stay Contracts" state="visible" r:id="rId13"/>
    <sheet sheetId="11" name="F&amp;B Outlets" state="visible" r:id="rId14"/>
    <sheet sheetId="12" name="Reviews" state="visible" r:id="rId15"/>
    <sheet sheetId="13" name="History &amp; Forecast" state="visible" r:id="rId16"/>
    <sheet sheetId="14" name="Apartments" state="visible" r:id="rId17"/>
    <sheet sheetId="15" name="Food Waste Tracker" state="visible" r:id="rId18"/>
    <sheet sheetId="16" name="Guest Glitches" state="visible" r:id="rId19"/>
    <sheet sheetId="17" name="Balance Sheet" state="visible" r:id="rId20"/>
    <sheet sheetId="18" name="Other Statistics" state="visible" r:id="rId21"/>
  </sheets>
  <calcPr calcId="171027"/>
</workbook>
</file>

<file path=xl/sharedStrings.xml><?xml version="1.0" encoding="utf-8"?>
<sst xmlns="http://schemas.openxmlformats.org/spreadsheetml/2006/main" count="554" uniqueCount="287">
  <si>
    <t>HotelPulse monthly data pack — Sample Hotel (SAMPLE — synthetic data) — September 2026 — SAMPLE / DEMO DATA (synthetic, not a real hotel)</t>
  </si>
  <si>
    <t/>
  </si>
  <si>
    <t>Every sheet mirrors a report your hotel already produces. Fill in what you have — every sheet is optional —</t>
  </si>
  <si>
    <t>or skip this workbook and upload your own exports as they are:</t>
  </si>
  <si>
    <t xml:space="preserve">  • Financial statements pack (.xlsx/.xlsm) — the consolidated 'P&amp;L DEPT' (IHG / USALI layout) is read automatically</t>
  </si>
  <si>
    <t xml:space="preserve">  • Opera 'Manager – Flash' and 'History and Forecast' (PDF)   • STR monthly and daily reports (.xls / .xlsx)</t>
  </si>
  <si>
    <t xml:space="preserve">  • Payroll summary and HR statistics   • Apartments performance breakdown   • Extended-stay list</t>
  </si>
  <si>
    <t xml:space="preserve">  • Outlet food-waste trackers   • Guest glitch / incident log   • Balance sheet report (AR / AP)</t>
  </si>
  <si>
    <t>All amounts in QAR. Percentages as 82.6 or 82.6%. Ratings out of 10 (or 5 — converted).</t>
  </si>
  <si>
    <t>Convention: USALI 11th edition — A&amp;G, S&amp;M, POM and IT totals INCLUDE their own payroll; payroll is also shown</t>
  </si>
  <si>
    <t>by department so HotelPulse can count it once.</t>
  </si>
  <si>
    <t>Columns marked 'Variance' and '%' are optional. In P&amp;L DEPT the month block is on the LEFT of the line names,</t>
  </si>
  <si>
    <t>the year-to-date block on the RIGHT — exactly like IHG statements. Only the month block is required.</t>
  </si>
  <si>
    <t>SAMPLE HOTEL (SAMPLE — SYNTHETIC DATA)</t>
  </si>
  <si>
    <t>CONSOLIDATED PROFIT &amp; LOSS STATEMENT</t>
  </si>
  <si>
    <t>PERIOD SEPTEMBER 2026</t>
  </si>
  <si>
    <t>MONTH TO DATE</t>
  </si>
  <si>
    <t>YEAR TO DATE (optional)</t>
  </si>
  <si>
    <t>Last Year</t>
  </si>
  <si>
    <t>%</t>
  </si>
  <si>
    <t>Variance</t>
  </si>
  <si>
    <t>Budget</t>
  </si>
  <si>
    <t>This Month</t>
  </si>
  <si>
    <t>Actual</t>
  </si>
  <si>
    <t>Act vs Bgt</t>
  </si>
  <si>
    <t xml:space="preserve">  TOTAL OPERATING REVENUE</t>
  </si>
  <si>
    <t xml:space="preserve">  Room Department</t>
  </si>
  <si>
    <t xml:space="preserve">  Total Revenue</t>
  </si>
  <si>
    <t xml:space="preserve">  Payroll and Related Expenses</t>
  </si>
  <si>
    <t xml:space="preserve">  Commissions</t>
  </si>
  <si>
    <t xml:space="preserve">  Other Expenses</t>
  </si>
  <si>
    <t xml:space="preserve">  Departmental Profit</t>
  </si>
  <si>
    <t xml:space="preserve">  Food and Beverage Department</t>
  </si>
  <si>
    <t xml:space="preserve">  Food Revenue</t>
  </si>
  <si>
    <t xml:space="preserve">  Beverage Revenue</t>
  </si>
  <si>
    <t xml:space="preserve">  Food Cost</t>
  </si>
  <si>
    <t xml:space="preserve">  Beverage Cost</t>
  </si>
  <si>
    <t xml:space="preserve">  O O D Depts / MOD</t>
  </si>
  <si>
    <t xml:space="preserve">  A&amp;G Payroll and Related Expenses</t>
  </si>
  <si>
    <t xml:space="preserve">  Total A&amp;G Expenses</t>
  </si>
  <si>
    <t xml:space="preserve">  Total I.T &amp; Telecom Expenses</t>
  </si>
  <si>
    <t xml:space="preserve">  S&amp;M Payroll &amp; Related Expenses</t>
  </si>
  <si>
    <t xml:space="preserve">  Total Marketing Expenses</t>
  </si>
  <si>
    <t xml:space="preserve">  POM Payroll &amp; Related Expenses</t>
  </si>
  <si>
    <t xml:space="preserve">  Total POM Expenses</t>
  </si>
  <si>
    <t xml:space="preserve">  Utilities  Costs</t>
  </si>
  <si>
    <t xml:space="preserve">  Gross Operating Profit ( GOP)</t>
  </si>
  <si>
    <t xml:space="preserve">  Total Management Fees</t>
  </si>
  <si>
    <t xml:space="preserve">  Total Non-Operating Expenses / (Income)</t>
  </si>
  <si>
    <t xml:space="preserve">  EBITDA</t>
  </si>
  <si>
    <t xml:space="preserve">  STATISTICS</t>
  </si>
  <si>
    <t xml:space="preserve">  Number of Rooms Available</t>
  </si>
  <si>
    <t xml:space="preserve">  Number of Rooms Sold</t>
  </si>
  <si>
    <t xml:space="preserve">  Percentage of Occupancy (excl comp)</t>
  </si>
  <si>
    <t xml:space="preserve">  Average Daily Rate Per Room (excl comp)</t>
  </si>
  <si>
    <t xml:space="preserve">  Rev Par</t>
  </si>
  <si>
    <t xml:space="preserve">  Payroll &amp; Related Expenses</t>
  </si>
  <si>
    <t xml:space="preserve">  Total Number of Employees (FTE)</t>
  </si>
  <si>
    <t xml:space="preserve">  Total F&amp;B Covers</t>
  </si>
  <si>
    <t>Sample Hotel (SAMPLE — synthetic data) — Manager - Flash</t>
  </si>
  <si>
    <t>Filter Calendar/Month to Date — September 2026</t>
  </si>
  <si>
    <t>Month This Year</t>
  </si>
  <si>
    <t>Month Last Year</t>
  </si>
  <si>
    <t>% Rooms Occupied minus Comp and House</t>
  </si>
  <si>
    <t>ADR minus Comp and House</t>
  </si>
  <si>
    <t>Total Revenue</t>
  </si>
  <si>
    <t>Room Revenue</t>
  </si>
  <si>
    <t>Food And Beverage Revenue</t>
  </si>
  <si>
    <t>Other Revenue</t>
  </si>
  <si>
    <t>Total Rooms in Hotel</t>
  </si>
  <si>
    <t>Rooms Occupied minus Comp and House Use</t>
  </si>
  <si>
    <t>Complimentary Rooms</t>
  </si>
  <si>
    <t>House Use Rooms</t>
  </si>
  <si>
    <t>Out of Order Rooms</t>
  </si>
  <si>
    <t>Total In-House Persons</t>
  </si>
  <si>
    <t>No Show Rooms</t>
  </si>
  <si>
    <t>Walk-in Rooms</t>
  </si>
  <si>
    <t>Revenue per Available Room</t>
  </si>
  <si>
    <t>Monthly Performance Data</t>
  </si>
  <si>
    <t>My Property: Sample Hotel (SAMPLE — synthetic data)</t>
  </si>
  <si>
    <t>Comp Set: (list your comp-set hotels here — aggregate figures only)</t>
  </si>
  <si>
    <t>Job Number: SAMPLE — synthetic data</t>
  </si>
  <si>
    <t>Occupancy</t>
  </si>
  <si>
    <t>ADR</t>
  </si>
  <si>
    <t>RevPAR</t>
  </si>
  <si>
    <t>Date</t>
  </si>
  <si>
    <t>This Year</t>
  </si>
  <si>
    <t>% Chg</t>
  </si>
  <si>
    <t>Index (MPI)</t>
  </si>
  <si>
    <t>Rank</t>
  </si>
  <si>
    <t>Index (ARI)</t>
  </si>
  <si>
    <t>Index (RGI)</t>
  </si>
  <si>
    <t>My Prop</t>
  </si>
  <si>
    <t>Comp Set</t>
  </si>
  <si>
    <t>Sep 2026</t>
  </si>
  <si>
    <t>Source: STR / CoStar (aggregate comp-set data only). HotelPulse never needs individual competitors' figures.</t>
  </si>
  <si>
    <t>Daily by Day Performance Data</t>
  </si>
  <si>
    <t>DOW</t>
  </si>
  <si>
    <t>09/01/2026</t>
  </si>
  <si>
    <t>Tue</t>
  </si>
  <si>
    <t>09/02/2026</t>
  </si>
  <si>
    <t>Wed</t>
  </si>
  <si>
    <t>09/03/2026</t>
  </si>
  <si>
    <t>Thu</t>
  </si>
  <si>
    <t>09/04/2026</t>
  </si>
  <si>
    <t>Fri</t>
  </si>
  <si>
    <t>09/05/2026</t>
  </si>
  <si>
    <t>Sat</t>
  </si>
  <si>
    <t>09/06/2026</t>
  </si>
  <si>
    <t>Sun</t>
  </si>
  <si>
    <t>09/07/2026</t>
  </si>
  <si>
    <t>Mon</t>
  </si>
  <si>
    <t>09/08/2026</t>
  </si>
  <si>
    <t>09/09/2026</t>
  </si>
  <si>
    <t>09/10/2026</t>
  </si>
  <si>
    <t>09/11/2026</t>
  </si>
  <si>
    <t>09/12/2026</t>
  </si>
  <si>
    <t>09/13/2026</t>
  </si>
  <si>
    <t>09/14/2026</t>
  </si>
  <si>
    <t>09/15/2026</t>
  </si>
  <si>
    <t>09/16/2026</t>
  </si>
  <si>
    <t>09/17/2026</t>
  </si>
  <si>
    <t>09/18/2026</t>
  </si>
  <si>
    <t>09/19/2026</t>
  </si>
  <si>
    <t>09/20/2026</t>
  </si>
  <si>
    <t>09/21/2026</t>
  </si>
  <si>
    <t>09/22/2026</t>
  </si>
  <si>
    <t>09/23/2026</t>
  </si>
  <si>
    <t>09/24/2026</t>
  </si>
  <si>
    <t>09/25/2026</t>
  </si>
  <si>
    <t>09/26/2026</t>
  </si>
  <si>
    <t>09/27/2026</t>
  </si>
  <si>
    <t>09/28/2026</t>
  </si>
  <si>
    <t>09/29/2026</t>
  </si>
  <si>
    <t>09/30/2026</t>
  </si>
  <si>
    <t>PAYROLL SUMMARY - SEPTEMBER 2026 MTD</t>
  </si>
  <si>
    <t>Actual 2026</t>
  </si>
  <si>
    <t>Budget 2026</t>
  </si>
  <si>
    <t>Actual 2025</t>
  </si>
  <si>
    <t>Total Headcount</t>
  </si>
  <si>
    <t>Rooms Available</t>
  </si>
  <si>
    <t>Occupied Rooms</t>
  </si>
  <si>
    <t>Total Hotel Revenue</t>
  </si>
  <si>
    <t>Overtime</t>
  </si>
  <si>
    <t>Contracted, Leased and Outsourced Labor</t>
  </si>
  <si>
    <t>Total Labor Costs &amp; Related Expenses</t>
  </si>
  <si>
    <t>EMPLOYEE TURNOVER - SEPTEMBER 2026</t>
  </si>
  <si>
    <t>DEPARTMENTS</t>
  </si>
  <si>
    <t>NO.OF JOINERS</t>
  </si>
  <si>
    <t>RESIGNED</t>
  </si>
  <si>
    <t>TERMINATED</t>
  </si>
  <si>
    <t>ACTUAL MONTH END CLOSING HEADCOUNT</t>
  </si>
  <si>
    <t>ROOMS</t>
  </si>
  <si>
    <t>F&amp;B</t>
  </si>
  <si>
    <t>A&amp;G</t>
  </si>
  <si>
    <t>SALES &amp; MARKETING</t>
  </si>
  <si>
    <t>POM</t>
  </si>
  <si>
    <t>OTHER OPERATED</t>
  </si>
  <si>
    <t>HOTEL</t>
  </si>
  <si>
    <t>Market segment production — as in the 'MKTSEG REVENUE' / 'MKTSEG OCC ROOM' schedules</t>
  </si>
  <si>
    <t>Market Segment</t>
  </si>
  <si>
    <t>Room Nights</t>
  </si>
  <si>
    <t>Transient leisure</t>
  </si>
  <si>
    <t>Corporate</t>
  </si>
  <si>
    <t>Groups &amp; MICE</t>
  </si>
  <si>
    <t>Long stay</t>
  </si>
  <si>
    <t>Government</t>
  </si>
  <si>
    <t>Channel / source-of-business production (Opera or channel-manager export)</t>
  </si>
  <si>
    <t>Channel</t>
  </si>
  <si>
    <t>Commission</t>
  </si>
  <si>
    <t>Direct (Website)</t>
  </si>
  <si>
    <t>Booking.com</t>
  </si>
  <si>
    <t>Expedia</t>
  </si>
  <si>
    <t>Agoda</t>
  </si>
  <si>
    <t>Wholesale &amp; Tour Operators</t>
  </si>
  <si>
    <t>Long-stay contracts</t>
  </si>
  <si>
    <t>Walk-in</t>
  </si>
  <si>
    <t>GDS</t>
  </si>
  <si>
    <t>Extended-stay companies. You can also upload the extended-stay list (Guest | In | Out | Nights | Room Type | Company | Daily rate).</t>
  </si>
  <si>
    <t>Company</t>
  </si>
  <si>
    <t>Gulf Energy Services</t>
  </si>
  <si>
    <t>Qatar Projects Consortium</t>
  </si>
  <si>
    <t>Al Waha Engineering</t>
  </si>
  <si>
    <t>Medical Staff Housing</t>
  </si>
  <si>
    <t>Outlet</t>
  </si>
  <si>
    <t>Covers</t>
  </si>
  <si>
    <t>Food Revenue</t>
  </si>
  <si>
    <t>Beverage Revenue</t>
  </si>
  <si>
    <t>Food Cost</t>
  </si>
  <si>
    <t>Beverage Cost</t>
  </si>
  <si>
    <t>Payroll</t>
  </si>
  <si>
    <t>Al Bahar (All-day dining)</t>
  </si>
  <si>
    <t>Saffron (Indian)</t>
  </si>
  <si>
    <t>Lobby Lounge</t>
  </si>
  <si>
    <t>Sky Bar</t>
  </si>
  <si>
    <t>In-Room Dining</t>
  </si>
  <si>
    <t>Banquets &amp; Events</t>
  </si>
  <si>
    <t>Site</t>
  </si>
  <si>
    <t>Rating</t>
  </si>
  <si>
    <t>Reviews</t>
  </si>
  <si>
    <t>Google</t>
  </si>
  <si>
    <t>TripAdvisor</t>
  </si>
  <si>
    <t>Daily history (Opera 'History and Forecast' — the PDF can be uploaded as it is)</t>
  </si>
  <si>
    <t>Occ. Rooms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</si>
  <si>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</si>
  <si>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</si>
  <si>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</si>
  <si>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</si>
  <si>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</si>
  <si>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</si>
  <si>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</si>
  <si>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</si>
  <si>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</si>
  <si>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</si>
  <si>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</si>
  <si>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</si>
  <si>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</si>
  <si>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</si>
  <si>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</si>
  <si>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</si>
  <si>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</si>
  <si>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</si>
  <si>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</si>
  <si>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</si>
  <si>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</si>
  <si>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</si>
  <si>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</si>
  <si>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</si>
  <si>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</si>
  <si>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</si>
  <si>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</si>
  <si>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</si>
  <si>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</si>
  <si>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</si>
  <si>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Sample Hotel (SAMPLE — synthetic data) Apartments - Performance Breakdown</t>
  </si>
  <si>
    <t>Rooms nights</t>
  </si>
  <si>
    <t>Total</t>
  </si>
  <si>
    <t>Permanent</t>
  </si>
  <si>
    <t>Other</t>
  </si>
  <si>
    <t>Revenue</t>
  </si>
  <si>
    <t>Permanent = long-stay / monthly residents; Other = transient. Add unit-type rows (Studio, One Bedroom…) if you track them.</t>
  </si>
  <si>
    <t>All outlets Food waste</t>
  </si>
  <si>
    <t>Day</t>
  </si>
  <si>
    <t>Expected Covers</t>
  </si>
  <si>
    <t>Covers have been served</t>
  </si>
  <si>
    <t>Unit of measurement</t>
  </si>
  <si>
    <t>Preparation Buffet Waste</t>
  </si>
  <si>
    <t>Non segregated food waste</t>
  </si>
  <si>
    <t>Total Food Waste/kg</t>
  </si>
  <si>
    <t>Food waste per cover/kg</t>
  </si>
  <si>
    <t>KG</t>
  </si>
  <si>
    <t>One row per day; keep one sheet per outlet if you track outlets separately (title: '&lt;Outlet&gt; Food waste &lt;meal&gt;').</t>
  </si>
  <si>
    <t>Request ID</t>
  </si>
  <si>
    <t>Request Type</t>
  </si>
  <si>
    <t>Subject</t>
  </si>
  <si>
    <t>Department</t>
  </si>
  <si>
    <t>Status</t>
  </si>
  <si>
    <t>COM</t>
  </si>
  <si>
    <t>Room maintenance (A/C)</t>
  </si>
  <si>
    <t>Closed</t>
  </si>
  <si>
    <t>Cleanliness</t>
  </si>
  <si>
    <t>Noise</t>
  </si>
  <si>
    <t>Wi-Fi</t>
  </si>
  <si>
    <t>Breakfast quality</t>
  </si>
  <si>
    <t>Check-in speed</t>
  </si>
  <si>
    <t>Staff attitude</t>
  </si>
  <si>
    <t>Pool &amp; gym</t>
  </si>
  <si>
    <t>BALANCE SHEET REPORT</t>
  </si>
  <si>
    <t>ENDING PERIOD SEPTEMBER 2026</t>
  </si>
  <si>
    <t>BALANCE THIS PERIOD</t>
  </si>
  <si>
    <t>BALANCE LAST PERIOD</t>
  </si>
  <si>
    <t>BALANCE LAST YEAR</t>
  </si>
  <si>
    <t>ACCOUNTS &amp; NOTES RECEIVABLES (NET)</t>
  </si>
  <si>
    <t>0-30 days</t>
  </si>
  <si>
    <t>31-60 days</t>
  </si>
  <si>
    <t>61-90 days</t>
  </si>
  <si>
    <t>Over 90 days</t>
  </si>
  <si>
    <t>TRADE ACCOUNT PAYABLE</t>
  </si>
  <si>
    <t>AP over 60 days</t>
  </si>
  <si>
    <t>Guest Rating (out of 10)</t>
  </si>
  <si>
    <t>Number of Reviews</t>
  </si>
  <si>
    <t>Guest Compensation</t>
  </si>
  <si>
    <t>Electricity Consumption (kWh)</t>
  </si>
  <si>
    <t>Food Waste Cost</t>
  </si>
  <si>
    <t>Website Sessions</t>
  </si>
  <si>
    <t>Website Bookings</t>
  </si>
  <si>
    <t>Direct Channel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</si>
</sst>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(#,##0.00)"/>
    <numFmt numFmtId="165" formatCode="0.0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  <color rgb="FF64748B"/>
    </font>
    <font>
      <b/>
      <color rgb="FFFFFFFF"/>
    </font>
    <font>
      <b/>
    </font>
    <font>
      <b/>
      <sz val="13"/>
    </font>
    <font>
      <i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5" fillId="3" borderId="0" xfId="0" applyFont="1" applyFill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2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pane xSplit="9" ySplit="11" topLeftCell="J12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7" customWidth="1"/>
    <col min="3" max="3" width="15" customWidth="1"/>
    <col min="4" max="4" width="7" customWidth="1"/>
    <col min="5" max="5" width="15" customWidth="1"/>
    <col min="6" max="6" width="7" customWidth="1"/>
    <col min="7" max="7" width="15" customWidth="1"/>
    <col min="8" max="8" width="7" customWidth="1"/>
    <col min="9" max="9" width="46" customWidth="1"/>
    <col min="10" max="10" width="7" customWidth="1"/>
    <col min="11" max="11" width="15" customWidth="1"/>
    <col min="12" max="12" width="7" customWidth="1"/>
    <col min="13" max="13" width="15" customWidth="1"/>
    <col min="14" max="14" width="7" customWidth="1"/>
    <col min="15" max="15" width="15" customWidth="1"/>
    <col min="16" max="16" width="7" customWidth="1"/>
    <col min="17" max="17" width="15" customWidth="1"/>
  </cols>
  <sheetData>
    <row r="1" spans="1:17" x14ac:dyDescent="0.25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" t="s">
        <v>15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9" spans="1:10" x14ac:dyDescent="0.25">
      <c r="A9" s="4" t="s">
        <v>16</v>
      </c>
      <c r="J9" s="4" t="s">
        <v>17</v>
      </c>
    </row>
    <row r="10" spans="1:17" x14ac:dyDescent="0.25">
      <c r="A10" s="5" t="s">
        <v>18</v>
      </c>
      <c r="B10" s="5" t="s">
        <v>19</v>
      </c>
      <c r="C10" s="5" t="s">
        <v>20</v>
      </c>
      <c r="D10" s="5" t="s">
        <v>19</v>
      </c>
      <c r="E10" s="5" t="s">
        <v>21</v>
      </c>
      <c r="F10" s="5" t="s">
        <v>19</v>
      </c>
      <c r="G10" s="5" t="s">
        <v>22</v>
      </c>
      <c r="H10" s="5" t="s">
        <v>19</v>
      </c>
      <c r="I10" s="5" t="s">
        <v>1</v>
      </c>
      <c r="J10" s="5" t="s">
        <v>23</v>
      </c>
      <c r="K10" s="5" t="s">
        <v>19</v>
      </c>
      <c r="L10" s="5" t="s">
        <v>21</v>
      </c>
      <c r="M10" s="5" t="s">
        <v>19</v>
      </c>
      <c r="N10" s="5" t="s">
        <v>20</v>
      </c>
      <c r="O10" s="5" t="s">
        <v>19</v>
      </c>
      <c r="P10" s="5" t="s">
        <v>18</v>
      </c>
      <c r="Q10" s="5" t="s">
        <v>19</v>
      </c>
    </row>
    <row r="11" spans="3:14" x14ac:dyDescent="0.25">
      <c r="C11" t="s">
        <v>24</v>
      </c>
      <c r="N11" t="s">
        <v>24</v>
      </c>
    </row>
    <row r="13" spans="1:17" s="6" customFormat="1" x14ac:dyDescent="0.25">
      <c r="A13" s="7"/>
      <c r="B13" s="8">
        <f>IF(OR(A13="",A$13=0),"",A13/A$13*100)</f>
      </c>
      <c r="C13" s="7">
        <f>IF(OR(G13="",E13=""),"",G13-E13)</f>
      </c>
      <c r="D13" s="8"/>
      <c r="E13" s="7">
        <v>4229379.6</v>
      </c>
      <c r="F13" s="8">
        <f>IF(OR(E13="",E$13=0),"",E13/E$13*100)</f>
      </c>
      <c r="G13" s="7">
        <v>4150790.38</v>
      </c>
      <c r="H13" s="8">
        <f>IF(OR(G13="",G$13=0),"",G13/G$13*100)</f>
      </c>
      <c r="I13" s="6" t="s">
        <v>25</v>
      </c>
      <c r="J13" s="7"/>
      <c r="K13" s="8"/>
      <c r="L13" s="7"/>
      <c r="M13" s="8"/>
      <c r="N13" s="7"/>
      <c r="O13" s="8"/>
      <c r="P13" s="7"/>
      <c r="Q13" s="8"/>
    </row>
    <row r="14" spans="9:9" x14ac:dyDescent="0.25">
      <c r="I14" t="s">
        <v>1</v>
      </c>
    </row>
    <row r="15" spans="9:9" x14ac:dyDescent="0.25">
      <c r="I15" s="9" t="s">
        <v>26</v>
      </c>
    </row>
    <row r="16" spans="1:17" x14ac:dyDescent="0.25">
      <c r="A16" s="10"/>
      <c r="B16" s="11">
        <f>IF(OR(A16="",A$13=0),"",A16/A$13*100)</f>
      </c>
      <c r="C16" s="10">
        <f>IF(OR(G16="",E16=""),"",G16-E16)</f>
      </c>
      <c r="D16" s="11"/>
      <c r="E16" s="10">
        <v>2682195.6</v>
      </c>
      <c r="F16" s="11">
        <f>IF(OR(E16="",E$13=0),"",E16/E$13*100)</f>
      </c>
      <c r="G16" s="10">
        <v>2660387.69</v>
      </c>
      <c r="H16" s="11">
        <f>IF(OR(G16="",G$13=0),"",G16/G$13*100)</f>
      </c>
      <c r="I16" t="s">
        <v>27</v>
      </c>
      <c r="J16" s="10"/>
      <c r="K16" s="11"/>
      <c r="L16" s="10"/>
      <c r="M16" s="11"/>
      <c r="N16" s="10"/>
      <c r="O16" s="11"/>
      <c r="P16" s="10"/>
      <c r="Q16" s="11"/>
    </row>
    <row r="17" spans="1:17" x14ac:dyDescent="0.25">
      <c r="A17" s="10"/>
      <c r="B17" s="11">
        <f>IF(OR(A17="",A$13=0),"",A17/A$13*100)</f>
      </c>
      <c r="C17" s="10">
        <f>IF(OR(G17="",E17=""),"",G17-E17)</f>
      </c>
      <c r="D17" s="11"/>
      <c r="E17" s="10">
        <v>470801.9</v>
      </c>
      <c r="F17" s="11">
        <f>IF(OR(E17="",E$13=0),"",E17/E$13*100)</f>
      </c>
      <c r="G17" s="10">
        <v>484263.84</v>
      </c>
      <c r="H17" s="11">
        <f>IF(OR(G17="",G$13=0),"",G17/G$13*100)</f>
      </c>
      <c r="I17" t="s">
        <v>28</v>
      </c>
      <c r="J17" s="10"/>
      <c r="K17" s="11"/>
      <c r="L17" s="10"/>
      <c r="M17" s="11"/>
      <c r="N17" s="10"/>
      <c r="O17" s="11"/>
      <c r="P17" s="10"/>
      <c r="Q17" s="11"/>
    </row>
    <row r="18" spans="1:17" x14ac:dyDescent="0.25">
      <c r="A18" s="10"/>
      <c r="B18" s="11">
        <f>IF(OR(A18="",A$13=0),"",A18/A$13*100)</f>
      </c>
      <c r="C18" s="10">
        <f>IF(OR(G18="",E18=""),"",G18-E18)</f>
      </c>
      <c r="D18" s="11"/>
      <c r="E18" s="10">
        <v>205844.03</v>
      </c>
      <c r="F18" s="11">
        <f>IF(OR(E18="",E$13=0),"",E18/E$13*100)</f>
      </c>
      <c r="G18" s="10">
        <v>204137.54</v>
      </c>
      <c r="H18" s="11">
        <f>IF(OR(G18="",G$13=0),"",G18/G$13*100)</f>
      </c>
      <c r="I18" t="s">
        <v>29</v>
      </c>
      <c r="J18" s="10"/>
      <c r="K18" s="11"/>
      <c r="L18" s="10"/>
      <c r="M18" s="11"/>
      <c r="N18" s="10"/>
      <c r="O18" s="11"/>
      <c r="P18" s="10"/>
      <c r="Q18" s="11"/>
    </row>
    <row r="19" spans="1:17" x14ac:dyDescent="0.25">
      <c r="A19" s="10"/>
      <c r="B19" s="11">
        <f>IF(OR(A19="",A$13=0),"",A19/A$13*100)</f>
      </c>
      <c r="C19" s="10">
        <f>IF(OR(G19="",E19=""),"",G19-E19)</f>
      </c>
      <c r="D19" s="11"/>
      <c r="E19" s="10">
        <v>224188</v>
      </c>
      <c r="F19" s="11">
        <f>IF(OR(E19="",E$13=0),"",E19/E$13*100)</f>
      </c>
      <c r="G19" s="10">
        <v>217068.53</v>
      </c>
      <c r="H19" s="11">
        <f>IF(OR(G19="",G$13=0),"",G19/G$13*100)</f>
      </c>
      <c r="I19" t="s">
        <v>30</v>
      </c>
      <c r="J19" s="10"/>
      <c r="K19" s="11"/>
      <c r="L19" s="10"/>
      <c r="M19" s="11"/>
      <c r="N19" s="10"/>
      <c r="O19" s="11"/>
      <c r="P19" s="10"/>
      <c r="Q19" s="11"/>
    </row>
    <row r="20" spans="1:17" x14ac:dyDescent="0.25">
      <c r="A20" s="10"/>
      <c r="B20" s="11">
        <f>IF(OR(A20="",A$13=0),"",A20/A$13*100)</f>
      </c>
      <c r="C20" s="10">
        <f>IF(OR(G20="",E20=""),"",G20-E20)</f>
      </c>
      <c r="D20" s="11"/>
      <c r="E20" s="10">
        <v>1781361.67</v>
      </c>
      <c r="F20" s="11">
        <f>IF(OR(E20="",E$13=0),"",E20/E$13*100)</f>
      </c>
      <c r="G20" s="10">
        <v>1754917.78</v>
      </c>
      <c r="H20" s="11">
        <f>IF(OR(G20="",G$13=0),"",G20/G$13*100)</f>
      </c>
      <c r="I20" t="s">
        <v>31</v>
      </c>
      <c r="J20" s="10"/>
      <c r="K20" s="11"/>
      <c r="L20" s="10"/>
      <c r="M20" s="11"/>
      <c r="N20" s="10"/>
      <c r="O20" s="11"/>
      <c r="P20" s="10"/>
      <c r="Q20" s="11"/>
    </row>
    <row r="21" spans="9:9" x14ac:dyDescent="0.25">
      <c r="I21" t="s">
        <v>1</v>
      </c>
    </row>
    <row r="22" spans="9:9" x14ac:dyDescent="0.25">
      <c r="I22" s="9" t="s">
        <v>32</v>
      </c>
    </row>
    <row r="23" spans="1:17" x14ac:dyDescent="0.25">
      <c r="A23" s="10"/>
      <c r="B23" s="11">
        <f>IF(OR(A23="",A$13=0),"",A23/A$13*100)</f>
      </c>
      <c r="C23" s="10">
        <f>IF(OR(G23="",E23=""),"",G23-E23)</f>
      </c>
      <c r="D23" s="11"/>
      <c r="E23" s="10">
        <v>1023814.62</v>
      </c>
      <c r="F23" s="11">
        <f>IF(OR(E23="",E$13=0),"",E23/E$13*100)</f>
      </c>
      <c r="G23" s="10">
        <v>975337.29</v>
      </c>
      <c r="H23" s="11">
        <f>IF(OR(G23="",G$13=0),"",G23/G$13*100)</f>
      </c>
      <c r="I23" t="s">
        <v>33</v>
      </c>
      <c r="J23" s="10"/>
      <c r="K23" s="11"/>
      <c r="L23" s="10"/>
      <c r="M23" s="11"/>
      <c r="N23" s="10"/>
      <c r="O23" s="11"/>
      <c r="P23" s="10"/>
      <c r="Q23" s="11"/>
    </row>
    <row r="24" spans="1:17" x14ac:dyDescent="0.25">
      <c r="A24" s="10"/>
      <c r="B24" s="11">
        <f>IF(OR(A24="",A$13=0),"",A24/A$13*100)</f>
      </c>
      <c r="C24" s="10">
        <f>IF(OR(G24="",E24=""),"",G24-E24)</f>
      </c>
      <c r="D24" s="11"/>
      <c r="E24" s="10">
        <v>271841.38</v>
      </c>
      <c r="F24" s="11">
        <f>IF(OR(E24="",E$13=0),"",E24/E$13*100)</f>
      </c>
      <c r="G24" s="10">
        <v>259210.81</v>
      </c>
      <c r="H24" s="11">
        <f>IF(OR(G24="",G$13=0),"",G24/G$13*100)</f>
      </c>
      <c r="I24" t="s">
        <v>34</v>
      </c>
      <c r="J24" s="10"/>
      <c r="K24" s="11"/>
      <c r="L24" s="10"/>
      <c r="M24" s="11"/>
      <c r="N24" s="10"/>
      <c r="O24" s="11"/>
      <c r="P24" s="10"/>
      <c r="Q24" s="11"/>
    </row>
    <row r="25" spans="1:17" x14ac:dyDescent="0.25">
      <c r="A25" s="10"/>
      <c r="B25" s="11">
        <f>IF(OR(A25="",A$13=0),"",A25/A$13*100)</f>
      </c>
      <c r="C25" s="10">
        <f>IF(OR(G25="",E25=""),"",G25-E25)</f>
      </c>
      <c r="D25" s="11"/>
      <c r="E25" s="10">
        <v>1295656</v>
      </c>
      <c r="F25" s="11">
        <f>IF(OR(E25="",E$13=0),"",E25/E$13*100)</f>
      </c>
      <c r="G25" s="10">
        <v>1234548.1</v>
      </c>
      <c r="H25" s="11">
        <f>IF(OR(G25="",G$13=0),"",G25/G$13*100)</f>
      </c>
      <c r="I25" t="s">
        <v>27</v>
      </c>
      <c r="J25" s="10"/>
      <c r="K25" s="11"/>
      <c r="L25" s="10"/>
      <c r="M25" s="11"/>
      <c r="N25" s="10"/>
      <c r="O25" s="11"/>
      <c r="P25" s="10"/>
      <c r="Q25" s="11"/>
    </row>
    <row r="26" spans="1:17" x14ac:dyDescent="0.25">
      <c r="A26" s="10"/>
      <c r="B26" s="11">
        <f>IF(OR(A26="",A$13=0),"",A26/A$13*100)</f>
      </c>
      <c r="C26" s="10">
        <f>IF(OR(G26="",E26=""),"",G26-E26)</f>
      </c>
      <c r="D26" s="11"/>
      <c r="E26" s="10">
        <v>302025.3</v>
      </c>
      <c r="F26" s="11">
        <f>IF(OR(E26="",E$13=0),"",E26/E$13*100)</f>
      </c>
      <c r="G26" s="10">
        <v>292940</v>
      </c>
      <c r="H26" s="11">
        <f>IF(OR(G26="",G$13=0),"",G26/G$13*100)</f>
      </c>
      <c r="I26" t="s">
        <v>35</v>
      </c>
      <c r="J26" s="10"/>
      <c r="K26" s="11"/>
      <c r="L26" s="10"/>
      <c r="M26" s="11"/>
      <c r="N26" s="10"/>
      <c r="O26" s="11"/>
      <c r="P26" s="10"/>
      <c r="Q26" s="11"/>
    </row>
    <row r="27" spans="1:17" x14ac:dyDescent="0.25">
      <c r="A27" s="10"/>
      <c r="B27" s="11">
        <f>IF(OR(A27="",A$13=0),"",A27/A$13*100)</f>
      </c>
      <c r="C27" s="10">
        <f>IF(OR(G27="",E27=""),"",G27-E27)</f>
      </c>
      <c r="D27" s="11"/>
      <c r="E27" s="10">
        <v>58445.88</v>
      </c>
      <c r="F27" s="11">
        <f>IF(OR(E27="",E$13=0),"",E27/E$13*100)</f>
      </c>
      <c r="G27" s="10">
        <v>56236.81</v>
      </c>
      <c r="H27" s="11">
        <f>IF(OR(G27="",G$13=0),"",G27/G$13*100)</f>
      </c>
      <c r="I27" t="s">
        <v>36</v>
      </c>
      <c r="J27" s="10"/>
      <c r="K27" s="11"/>
      <c r="L27" s="10"/>
      <c r="M27" s="11"/>
      <c r="N27" s="10"/>
      <c r="O27" s="11"/>
      <c r="P27" s="10"/>
      <c r="Q27" s="11"/>
    </row>
    <row r="28" spans="1:17" x14ac:dyDescent="0.25">
      <c r="A28" s="10"/>
      <c r="B28" s="11">
        <f>IF(OR(A28="",A$13=0),"",A28/A$13*100)</f>
      </c>
      <c r="C28" s="10">
        <f>IF(OR(G28="",E28=""),"",G28-E28)</f>
      </c>
      <c r="D28" s="11"/>
      <c r="E28" s="10">
        <v>349827.13</v>
      </c>
      <c r="F28" s="11">
        <f>IF(OR(E28="",E$13=0),"",E28/E$13*100)</f>
      </c>
      <c r="G28" s="10">
        <v>332744.7</v>
      </c>
      <c r="H28" s="11">
        <f>IF(OR(G28="",G$13=0),"",G28/G$13*100)</f>
      </c>
      <c r="I28" t="s">
        <v>28</v>
      </c>
      <c r="J28" s="10"/>
      <c r="K28" s="11"/>
      <c r="L28" s="10"/>
      <c r="M28" s="11"/>
      <c r="N28" s="10"/>
      <c r="O28" s="11"/>
      <c r="P28" s="10"/>
      <c r="Q28" s="11"/>
    </row>
    <row r="29" spans="1:17" x14ac:dyDescent="0.25">
      <c r="A29" s="10"/>
      <c r="B29" s="11">
        <f>IF(OR(A29="",A$13=0),"",A29/A$13*100)</f>
      </c>
      <c r="C29" s="10">
        <f>IF(OR(G29="",E29=""),"",G29-E29)</f>
      </c>
      <c r="D29" s="11"/>
      <c r="E29" s="10">
        <v>110130.76</v>
      </c>
      <c r="F29" s="11">
        <f>IF(OR(E29="",E$13=0),"",E29/E$13*100)</f>
      </c>
      <c r="G29" s="10">
        <v>101688.95</v>
      </c>
      <c r="H29" s="11">
        <f>IF(OR(G29="",G$13=0),"",G29/G$13*100)</f>
      </c>
      <c r="I29" t="s">
        <v>30</v>
      </c>
      <c r="J29" s="10"/>
      <c r="K29" s="11"/>
      <c r="L29" s="10"/>
      <c r="M29" s="11"/>
      <c r="N29" s="10"/>
      <c r="O29" s="11"/>
      <c r="P29" s="10"/>
      <c r="Q29" s="11"/>
    </row>
    <row r="30" spans="1:17" x14ac:dyDescent="0.25">
      <c r="A30" s="10"/>
      <c r="B30" s="11"/>
      <c r="C30" s="10">
        <f>IF(OR(G30="",E30=""),"",G30-E30)</f>
      </c>
      <c r="D30" s="11"/>
      <c r="E30" s="10">
        <v>475226.92999999993</v>
      </c>
      <c r="F30" s="11"/>
      <c r="G30" s="10">
        <v>450937.64000000013</v>
      </c>
      <c r="H30" s="11"/>
      <c r="I30" t="s">
        <v>31</v>
      </c>
      <c r="J30" s="10"/>
      <c r="K30" s="11"/>
      <c r="L30" s="10"/>
      <c r="M30" s="11"/>
      <c r="N30" s="10"/>
      <c r="O30" s="11"/>
      <c r="P30" s="10"/>
      <c r="Q30" s="11"/>
    </row>
    <row r="31" spans="9:9" x14ac:dyDescent="0.25">
      <c r="I31" t="s">
        <v>1</v>
      </c>
    </row>
    <row r="32" spans="9:9" x14ac:dyDescent="0.25">
      <c r="I32" s="9" t="s">
        <v>37</v>
      </c>
    </row>
    <row r="33" spans="1:17" x14ac:dyDescent="0.25">
      <c r="A33" s="10"/>
      <c r="B33" s="11">
        <f>IF(OR(A33="",A$13=0),"",A33/A$13*100)</f>
      </c>
      <c r="C33" s="10">
        <f>IF(OR(G33="",E33=""),"",G33-E33)</f>
      </c>
      <c r="D33" s="11"/>
      <c r="E33" s="10">
        <v>251528</v>
      </c>
      <c r="F33" s="11">
        <f>IF(OR(E33="",E$13=0),"",E33/E$13*100)</f>
      </c>
      <c r="G33" s="10">
        <v>255854.59</v>
      </c>
      <c r="H33" s="11">
        <f>IF(OR(G33="",G$13=0),"",G33/G$13*100)</f>
      </c>
      <c r="I33" t="s">
        <v>27</v>
      </c>
      <c r="J33" s="10"/>
      <c r="K33" s="11"/>
      <c r="L33" s="10"/>
      <c r="M33" s="11"/>
      <c r="N33" s="10"/>
      <c r="O33" s="11"/>
      <c r="P33" s="10"/>
      <c r="Q33" s="11"/>
    </row>
    <row r="34" spans="1:17" x14ac:dyDescent="0.25">
      <c r="A34" s="10"/>
      <c r="B34" s="11">
        <f>IF(OR(A34="",A$13=0),"",A34/A$13*100)</f>
      </c>
      <c r="C34" s="10">
        <f>IF(OR(G34="",E34=""),"",G34-E34)</f>
      </c>
      <c r="D34" s="11"/>
      <c r="E34" s="10">
        <v>105641.76</v>
      </c>
      <c r="F34" s="11">
        <f>IF(OR(E34="",E$13=0),"",E34/E$13*100)</f>
      </c>
      <c r="G34" s="10">
        <v>108815.45</v>
      </c>
      <c r="H34" s="11">
        <f>IF(OR(G34="",G$13=0),"",G34/G$13*100)</f>
      </c>
      <c r="I34" t="s">
        <v>30</v>
      </c>
      <c r="J34" s="10"/>
      <c r="K34" s="11"/>
      <c r="L34" s="10"/>
      <c r="M34" s="11"/>
      <c r="N34" s="10"/>
      <c r="O34" s="11"/>
      <c r="P34" s="10"/>
      <c r="Q34" s="11"/>
    </row>
    <row r="35" spans="9:9" x14ac:dyDescent="0.25">
      <c r="I35" t="s">
        <v>1</v>
      </c>
    </row>
    <row r="36" spans="1:17" x14ac:dyDescent="0.25">
      <c r="A36" s="10"/>
      <c r="B36" s="11"/>
      <c r="C36" s="10">
        <f>IF(OR(G36="",E36=""),"",G36-E36)</f>
      </c>
      <c r="D36" s="11"/>
      <c r="E36" s="10"/>
      <c r="F36" s="11"/>
      <c r="G36" s="10">
        <v>193705.54</v>
      </c>
      <c r="H36" s="11"/>
      <c r="I36" t="s">
        <v>38</v>
      </c>
      <c r="J36" s="10"/>
      <c r="K36" s="11"/>
      <c r="L36" s="10"/>
      <c r="M36" s="11"/>
      <c r="N36" s="10"/>
      <c r="O36" s="11"/>
      <c r="P36" s="10"/>
      <c r="Q36" s="11"/>
    </row>
    <row r="37" spans="1:17" x14ac:dyDescent="0.25">
      <c r="A37" s="10"/>
      <c r="B37" s="11">
        <f>IF(OR(A37="",A$13=0),"",A37/A$13*100)</f>
      </c>
      <c r="C37" s="10">
        <f>IF(OR(G37="",E37=""),"",G37-E37)</f>
      </c>
      <c r="D37" s="11"/>
      <c r="E37" s="10">
        <v>426349.05</v>
      </c>
      <c r="F37" s="11">
        <f>IF(OR(E37="",E$13=0),"",E37/E$13*100)</f>
      </c>
      <c r="G37" s="10">
        <v>435118.84</v>
      </c>
      <c r="H37" s="11">
        <f>IF(OR(G37="",G$13=0),"",G37/G$13*100)</f>
      </c>
      <c r="I37" t="s">
        <v>39</v>
      </c>
      <c r="J37" s="10"/>
      <c r="K37" s="11"/>
      <c r="L37" s="10"/>
      <c r="M37" s="11"/>
      <c r="N37" s="10"/>
      <c r="O37" s="11"/>
      <c r="P37" s="10"/>
      <c r="Q37" s="11"/>
    </row>
    <row r="38" spans="9:9" x14ac:dyDescent="0.25">
      <c r="I38" t="s">
        <v>1</v>
      </c>
    </row>
    <row r="39" spans="1:17" x14ac:dyDescent="0.25">
      <c r="A39" s="10"/>
      <c r="B39" s="11">
        <f>IF(OR(A39="",A$13=0),"",A39/A$13*100)</f>
      </c>
      <c r="C39" s="10">
        <f>IF(OR(G39="",E39=""),"",G39-E39)</f>
      </c>
      <c r="D39" s="11"/>
      <c r="E39" s="10">
        <v>46523.18</v>
      </c>
      <c r="F39" s="11">
        <f>IF(OR(E39="",E$13=0),"",E39/E$13*100)</f>
      </c>
      <c r="G39" s="10">
        <v>44333.08</v>
      </c>
      <c r="H39" s="11">
        <f>IF(OR(G39="",G$13=0),"",G39/G$13*100)</f>
      </c>
      <c r="I39" t="s">
        <v>40</v>
      </c>
      <c r="J39" s="10"/>
      <c r="K39" s="11"/>
      <c r="L39" s="10"/>
      <c r="M39" s="11"/>
      <c r="N39" s="10"/>
      <c r="O39" s="11"/>
      <c r="P39" s="10"/>
      <c r="Q39" s="11"/>
    </row>
    <row r="40" spans="9:9" x14ac:dyDescent="0.25">
      <c r="I40" t="s">
        <v>1</v>
      </c>
    </row>
    <row r="41" spans="1:17" x14ac:dyDescent="0.25">
      <c r="A41" s="10"/>
      <c r="B41" s="11"/>
      <c r="C41" s="10">
        <f>IF(OR(G41="",E41=""),"",G41-E41)</f>
      </c>
      <c r="D41" s="11"/>
      <c r="E41" s="10"/>
      <c r="F41" s="11"/>
      <c r="G41" s="10">
        <v>96852.77</v>
      </c>
      <c r="H41" s="11"/>
      <c r="I41" t="s">
        <v>41</v>
      </c>
      <c r="J41" s="10"/>
      <c r="K41" s="11"/>
      <c r="L41" s="10"/>
      <c r="M41" s="11"/>
      <c r="N41" s="10"/>
      <c r="O41" s="11"/>
      <c r="P41" s="10"/>
      <c r="Q41" s="11"/>
    </row>
    <row r="42" spans="1:17" x14ac:dyDescent="0.25">
      <c r="A42" s="10"/>
      <c r="B42" s="11">
        <f>IF(OR(A42="",A$13=0),"",A42/A$13*100)</f>
      </c>
      <c r="C42" s="10">
        <f>IF(OR(G42="",E42=""),"",G42-E42)</f>
      </c>
      <c r="D42" s="11"/>
      <c r="E42" s="10">
        <v>221041.77</v>
      </c>
      <c r="F42" s="11">
        <f>IF(OR(E42="",E$13=0),"",E42/E$13*100)</f>
      </c>
      <c r="G42" s="10">
        <v>224806.52</v>
      </c>
      <c r="H42" s="11">
        <f>IF(OR(G42="",G$13=0),"",G42/G$13*100)</f>
      </c>
      <c r="I42" t="s">
        <v>42</v>
      </c>
      <c r="J42" s="10"/>
      <c r="K42" s="11"/>
      <c r="L42" s="10"/>
      <c r="M42" s="11"/>
      <c r="N42" s="10"/>
      <c r="O42" s="11"/>
      <c r="P42" s="10"/>
      <c r="Q42" s="11"/>
    </row>
    <row r="43" spans="9:9" x14ac:dyDescent="0.25">
      <c r="I43" t="s">
        <v>1</v>
      </c>
    </row>
    <row r="44" spans="1:17" x14ac:dyDescent="0.25">
      <c r="A44" s="10"/>
      <c r="B44" s="11"/>
      <c r="C44" s="10">
        <f>IF(OR(G44="",E44=""),"",G44-E44)</f>
      </c>
      <c r="D44" s="11"/>
      <c r="E44" s="10"/>
      <c r="F44" s="11"/>
      <c r="G44" s="10">
        <v>161421.28</v>
      </c>
      <c r="H44" s="11"/>
      <c r="I44" t="s">
        <v>43</v>
      </c>
      <c r="J44" s="10"/>
      <c r="K44" s="11"/>
      <c r="L44" s="10"/>
      <c r="M44" s="11"/>
      <c r="N44" s="10"/>
      <c r="O44" s="11"/>
      <c r="P44" s="10"/>
      <c r="Q44" s="11"/>
    </row>
    <row r="45" spans="1:17" x14ac:dyDescent="0.25">
      <c r="A45" s="10"/>
      <c r="B45" s="11">
        <f>IF(OR(A45="",A$13=0),"",A45/A$13*100)</f>
      </c>
      <c r="C45" s="10">
        <f>IF(OR(G45="",E45=""),"",G45-E45)</f>
      </c>
      <c r="D45" s="11"/>
      <c r="E45" s="10">
        <v>314980.32</v>
      </c>
      <c r="F45" s="11">
        <f>IF(OR(E45="",E$13=0),"",E45/E$13*100)</f>
      </c>
      <c r="G45" s="10">
        <v>313813.08</v>
      </c>
      <c r="H45" s="11">
        <f>IF(OR(G45="",G$13=0),"",G45/G$13*100)</f>
      </c>
      <c r="I45" t="s">
        <v>44</v>
      </c>
      <c r="J45" s="10"/>
      <c r="K45" s="11"/>
      <c r="L45" s="10"/>
      <c r="M45" s="11"/>
      <c r="N45" s="10"/>
      <c r="O45" s="11"/>
      <c r="P45" s="10"/>
      <c r="Q45" s="11"/>
    </row>
    <row r="46" spans="1:17" x14ac:dyDescent="0.25">
      <c r="A46" s="10"/>
      <c r="B46" s="11">
        <f>IF(OR(A46="",A$13=0),"",A46/A$13*100)</f>
      </c>
      <c r="C46" s="10">
        <f>IF(OR(G46="",E46=""),"",G46-E46)</f>
      </c>
      <c r="D46" s="11"/>
      <c r="E46" s="10">
        <v>248849.5</v>
      </c>
      <c r="F46" s="11">
        <f>IF(OR(E46="",E$13=0),"",E46/E$13*100)</f>
      </c>
      <c r="G46" s="10">
        <v>251965.97</v>
      </c>
      <c r="H46" s="11">
        <f>IF(OR(G46="",G$13=0),"",G46/G$13*100)</f>
      </c>
      <c r="I46" t="s">
        <v>45</v>
      </c>
      <c r="J46" s="10"/>
      <c r="K46" s="11"/>
      <c r="L46" s="10"/>
      <c r="M46" s="11"/>
      <c r="N46" s="10"/>
      <c r="O46" s="11"/>
      <c r="P46" s="10"/>
      <c r="Q46" s="11"/>
    </row>
    <row r="47" spans="9:9" x14ac:dyDescent="0.25">
      <c r="I47" t="s">
        <v>1</v>
      </c>
    </row>
    <row r="48" spans="1:17" s="6" customFormat="1" x14ac:dyDescent="0.25">
      <c r="A48" s="7"/>
      <c r="B48" s="8">
        <f>IF(OR(A48="",A$13=0),"",A48/A$13*100)</f>
      </c>
      <c r="C48" s="7">
        <f>IF(OR(G48="",E48=""),"",G48-E48)</f>
      </c>
      <c r="D48" s="8"/>
      <c r="E48" s="7">
        <v>1081957.45</v>
      </c>
      <c r="F48" s="8">
        <f>IF(OR(E48="",E$13=0),"",E48/E$13*100)</f>
      </c>
      <c r="G48" s="7">
        <v>1018288.58</v>
      </c>
      <c r="H48" s="8">
        <f>IF(OR(G48="",G$13=0),"",G48/G$13*100)</f>
      </c>
      <c r="I48" s="6" t="s">
        <v>46</v>
      </c>
      <c r="J48" s="7"/>
      <c r="K48" s="8"/>
      <c r="L48" s="7"/>
      <c r="M48" s="8"/>
      <c r="N48" s="7"/>
      <c r="O48" s="8"/>
      <c r="P48" s="7"/>
      <c r="Q48" s="8"/>
    </row>
    <row r="49" spans="9:9" x14ac:dyDescent="0.25">
      <c r="I49" t="s">
        <v>1</v>
      </c>
    </row>
    <row r="50" spans="1:17" x14ac:dyDescent="0.25">
      <c r="A50" s="10"/>
      <c r="B50" s="11">
        <f>IF(OR(A50="",A$13=0),"",A50/A$13*100)</f>
      </c>
      <c r="C50" s="10">
        <f>IF(OR(G50="",E50=""),"",G50-E50)</f>
      </c>
      <c r="D50" s="11"/>
      <c r="E50" s="10">
        <v>213437.98</v>
      </c>
      <c r="F50" s="11">
        <f>IF(OR(E50="",E$13=0),"",E50/E$13*100)</f>
      </c>
      <c r="G50" s="10">
        <v>205986.8</v>
      </c>
      <c r="H50" s="11">
        <f>IF(OR(G50="",G$13=0),"",G50/G$13*100)</f>
      </c>
      <c r="I50" t="s">
        <v>47</v>
      </c>
      <c r="J50" s="10"/>
      <c r="K50" s="11"/>
      <c r="L50" s="10"/>
      <c r="M50" s="11"/>
      <c r="N50" s="10"/>
      <c r="O50" s="11"/>
      <c r="P50" s="10"/>
      <c r="Q50" s="11"/>
    </row>
    <row r="51" spans="1:17" x14ac:dyDescent="0.25">
      <c r="A51" s="10"/>
      <c r="B51" s="11">
        <f>IF(OR(A51="",A$13=0),"",A51/A$13*100)</f>
      </c>
      <c r="C51" s="10">
        <f>IF(OR(G51="",E51=""),"",G51-E51)</f>
      </c>
      <c r="D51" s="11"/>
      <c r="E51" s="10">
        <v>194400</v>
      </c>
      <c r="F51" s="11">
        <f>IF(OR(E51="",E$13=0),"",E51/E$13*100)</f>
      </c>
      <c r="G51" s="10">
        <v>194400</v>
      </c>
      <c r="H51" s="11">
        <f>IF(OR(G51="",G$13=0),"",G51/G$13*100)</f>
      </c>
      <c r="I51" t="s">
        <v>48</v>
      </c>
      <c r="J51" s="10"/>
      <c r="K51" s="11"/>
      <c r="L51" s="10"/>
      <c r="M51" s="11"/>
      <c r="N51" s="10"/>
      <c r="O51" s="11"/>
      <c r="P51" s="10"/>
      <c r="Q51" s="11"/>
    </row>
    <row r="52" spans="1:17" s="6" customFormat="1" x14ac:dyDescent="0.25">
      <c r="A52" s="7"/>
      <c r="B52" s="8">
        <f>IF(OR(A52="",A$13=0),"",A52/A$13*100)</f>
      </c>
      <c r="C52" s="7">
        <f>IF(OR(G52="",E52=""),"",G52-E52)</f>
      </c>
      <c r="D52" s="8"/>
      <c r="E52" s="7">
        <v>674119.47</v>
      </c>
      <c r="F52" s="8">
        <f>IF(OR(E52="",E$13=0),"",E52/E$13*100)</f>
      </c>
      <c r="G52" s="7">
        <v>617901.78</v>
      </c>
      <c r="H52" s="8">
        <f>IF(OR(G52="",G$13=0),"",G52/G$13*100)</f>
      </c>
      <c r="I52" s="6" t="s">
        <v>49</v>
      </c>
      <c r="J52" s="7"/>
      <c r="K52" s="8"/>
      <c r="L52" s="7"/>
      <c r="M52" s="8"/>
      <c r="N52" s="7"/>
      <c r="O52" s="8"/>
      <c r="P52" s="7"/>
      <c r="Q52" s="8"/>
    </row>
    <row r="53" spans="9:9" x14ac:dyDescent="0.25">
      <c r="I53" t="s">
        <v>1</v>
      </c>
    </row>
    <row r="54" spans="9:9" x14ac:dyDescent="0.25">
      <c r="I54" s="9" t="s">
        <v>50</v>
      </c>
    </row>
    <row r="55" spans="1:17" x14ac:dyDescent="0.25">
      <c r="A55" s="12"/>
      <c r="B55" s="11"/>
      <c r="C55" s="12">
        <f>IF(OR(G55="",E55=""),"",G55-E55)</f>
      </c>
      <c r="D55" s="11"/>
      <c r="E55" s="12">
        <v>7440</v>
      </c>
      <c r="F55" s="11"/>
      <c r="G55" s="12">
        <v>7440</v>
      </c>
      <c r="H55" s="11"/>
      <c r="I55" t="s">
        <v>51</v>
      </c>
      <c r="J55" s="12"/>
      <c r="K55" s="11"/>
      <c r="L55" s="12"/>
      <c r="M55" s="11"/>
      <c r="N55" s="12"/>
      <c r="O55" s="11"/>
      <c r="P55" s="12"/>
      <c r="Q55" s="11"/>
    </row>
    <row r="56" spans="1:17" x14ac:dyDescent="0.25">
      <c r="A56" s="12"/>
      <c r="B56" s="11"/>
      <c r="C56" s="12">
        <f>IF(OR(G56="",E56=""),"",G56-E56)</f>
      </c>
      <c r="D56" s="11"/>
      <c r="E56" s="12">
        <v>5468</v>
      </c>
      <c r="F56" s="11"/>
      <c r="G56" s="12">
        <v>5510</v>
      </c>
      <c r="H56" s="11"/>
      <c r="I56" t="s">
        <v>52</v>
      </c>
      <c r="J56" s="12"/>
      <c r="K56" s="11"/>
      <c r="L56" s="12"/>
      <c r="M56" s="11"/>
      <c r="N56" s="12"/>
      <c r="O56" s="11"/>
      <c r="P56" s="12"/>
      <c r="Q56" s="11"/>
    </row>
    <row r="57" spans="1:17" x14ac:dyDescent="0.25">
      <c r="A57" s="13"/>
      <c r="B57" s="11"/>
      <c r="C57" s="13">
        <f>IF(OR(G57="",E57=""),"",G57-E57)</f>
      </c>
      <c r="D57" s="11"/>
      <c r="E57" s="13">
        <v>73.49462365591398</v>
      </c>
      <c r="F57" s="11"/>
      <c r="G57" s="13">
        <v>74.05913978494624</v>
      </c>
      <c r="H57" s="11"/>
      <c r="I57" t="s">
        <v>53</v>
      </c>
      <c r="J57" s="13"/>
      <c r="K57" s="11"/>
      <c r="L57" s="13"/>
      <c r="M57" s="11"/>
      <c r="N57" s="13"/>
      <c r="O57" s="11"/>
      <c r="P57" s="13"/>
      <c r="Q57" s="11"/>
    </row>
    <row r="58" spans="1:17" x14ac:dyDescent="0.25">
      <c r="A58" s="10"/>
      <c r="B58" s="11"/>
      <c r="C58" s="10">
        <f>IF(OR(G58="",E58=""),"",G58-E58)</f>
      </c>
      <c r="D58" s="11"/>
      <c r="E58" s="10">
        <v>490.5258961228969</v>
      </c>
      <c r="F58" s="11"/>
      <c r="G58" s="10">
        <v>482.82898185117966</v>
      </c>
      <c r="H58" s="11"/>
      <c r="I58" t="s">
        <v>54</v>
      </c>
      <c r="J58" s="10"/>
      <c r="K58" s="11"/>
      <c r="L58" s="10"/>
      <c r="M58" s="11"/>
      <c r="N58" s="10"/>
      <c r="O58" s="11"/>
      <c r="P58" s="10"/>
      <c r="Q58" s="11"/>
    </row>
    <row r="59" spans="1:17" x14ac:dyDescent="0.25">
      <c r="A59" s="10"/>
      <c r="B59" s="11"/>
      <c r="C59" s="10">
        <f>IF(OR(G59="",E59=""),"",G59-E59)</f>
      </c>
      <c r="D59" s="11"/>
      <c r="E59" s="10">
        <v>360.51016129032257</v>
      </c>
      <c r="F59" s="11"/>
      <c r="G59" s="10">
        <v>357.5789905913978</v>
      </c>
      <c r="H59" s="11"/>
      <c r="I59" t="s">
        <v>55</v>
      </c>
      <c r="J59" s="10"/>
      <c r="K59" s="11"/>
      <c r="L59" s="10"/>
      <c r="M59" s="11"/>
      <c r="N59" s="10"/>
      <c r="O59" s="11"/>
      <c r="P59" s="10"/>
      <c r="Q59" s="11"/>
    </row>
    <row r="60" spans="1:17" x14ac:dyDescent="0.25">
      <c r="A60" s="10"/>
      <c r="B60" s="11">
        <f>IF(OR(A60="",A$13=0),"",A60/A$13*100)</f>
      </c>
      <c r="C60" s="10">
        <f>IF(OR(G60="",E60=""),"",G60-E60)</f>
      </c>
      <c r="D60" s="11"/>
      <c r="E60" s="10">
        <v>1322817.72</v>
      </c>
      <c r="F60" s="11">
        <f>IF(OR(E60="",E$13=0),"",E60/E$13*100)</f>
      </c>
      <c r="G60" s="10">
        <v>1333556.63</v>
      </c>
      <c r="H60" s="11">
        <f>IF(OR(G60="",G$13=0),"",G60/G$13*100)</f>
      </c>
      <c r="I60" t="s">
        <v>56</v>
      </c>
      <c r="J60" s="10"/>
      <c r="K60" s="11"/>
      <c r="L60" s="10"/>
      <c r="M60" s="11"/>
      <c r="N60" s="10"/>
      <c r="O60" s="11"/>
      <c r="P60" s="10"/>
      <c r="Q60" s="11"/>
    </row>
    <row r="61" spans="1:17" x14ac:dyDescent="0.25">
      <c r="A61" s="12"/>
      <c r="B61" s="11"/>
      <c r="C61" s="12">
        <f>IF(OR(G61="",E61=""),"",G61-E61)</f>
      </c>
      <c r="D61" s="11"/>
      <c r="E61" s="12">
        <v>234</v>
      </c>
      <c r="F61" s="11"/>
      <c r="G61" s="12">
        <v>236</v>
      </c>
      <c r="H61" s="11"/>
      <c r="I61" t="s">
        <v>57</v>
      </c>
      <c r="J61" s="12"/>
      <c r="K61" s="11"/>
      <c r="L61" s="12"/>
      <c r="M61" s="11"/>
      <c r="N61" s="12"/>
      <c r="O61" s="11"/>
      <c r="P61" s="12"/>
      <c r="Q61" s="11"/>
    </row>
    <row r="62" spans="1:17" x14ac:dyDescent="0.25">
      <c r="A62" s="12"/>
      <c r="B62" s="11"/>
      <c r="C62" s="12">
        <f>IF(OR(G62="",E62=""),"",G62-E62)</f>
      </c>
      <c r="D62" s="11"/>
      <c r="E62" s="12">
        <v>9941</v>
      </c>
      <c r="F62" s="11"/>
      <c r="G62" s="12">
        <v>9590</v>
      </c>
      <c r="H62" s="11"/>
      <c r="I62" t="s">
        <v>58</v>
      </c>
      <c r="J62" s="12"/>
      <c r="K62" s="11"/>
      <c r="L62" s="12"/>
      <c r="M62" s="11"/>
      <c r="N62" s="12"/>
      <c r="O62" s="11"/>
      <c r="P62" s="12"/>
      <c r="Q62" s="11"/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6" customWidth="1"/>
    <col min="2" max="3" width="20" customWidth="1"/>
  </cols>
  <sheetData>
    <row r="1" spans="1:1" x14ac:dyDescent="0.25">
      <c r="A1" s="14" t="s">
        <v>59</v>
      </c>
    </row>
    <row r="2" spans="1:1" x14ac:dyDescent="0.25">
      <c r="A2" t="s">
        <v>60</v>
      </c>
    </row>
    <row r="4" spans="1:3" x14ac:dyDescent="0.25">
      <c r="A4" t="s">
        <v>1</v>
      </c>
      <c r="B4" s="5" t="s">
        <v>61</v>
      </c>
      <c r="C4" s="5" t="s">
        <v>62</v>
      </c>
    </row>
    <row r="5" spans="1:3" x14ac:dyDescent="0.25">
      <c r="A5" t="s">
        <v>63</v>
      </c>
      <c r="B5" s="13">
        <v>74.05913978494624</v>
      </c>
      <c r="C5" s="13"/>
    </row>
    <row r="6" spans="1:3" x14ac:dyDescent="0.25">
      <c r="A6" t="s">
        <v>64</v>
      </c>
      <c r="B6" s="10">
        <v>482.82898185117966</v>
      </c>
      <c r="C6" s="10"/>
    </row>
    <row r="7" spans="1:3" x14ac:dyDescent="0.25">
      <c r="A7" t="s">
        <v>65</v>
      </c>
      <c r="B7" s="10">
        <v>4150790.38</v>
      </c>
      <c r="C7" s="10"/>
    </row>
    <row r="8" spans="1:3" x14ac:dyDescent="0.25">
      <c r="A8" t="s">
        <v>66</v>
      </c>
      <c r="B8" s="10">
        <v>2660387.69</v>
      </c>
      <c r="C8" s="10"/>
    </row>
    <row r="9" spans="1:3" x14ac:dyDescent="0.25">
      <c r="A9" t="s">
        <v>67</v>
      </c>
      <c r="B9" s="10">
        <v>1234548.1</v>
      </c>
      <c r="C9" s="10"/>
    </row>
    <row r="10" spans="1:3" x14ac:dyDescent="0.25">
      <c r="A10" t="s">
        <v>68</v>
      </c>
      <c r="B10" s="10">
        <v>255854.59</v>
      </c>
      <c r="C10" s="10"/>
    </row>
    <row r="11" spans="1:3" x14ac:dyDescent="0.25">
      <c r="A11" t="s">
        <v>69</v>
      </c>
      <c r="B11" s="12">
        <v>7440</v>
      </c>
      <c r="C11" s="12"/>
    </row>
    <row r="12" spans="1:3" x14ac:dyDescent="0.25">
      <c r="A12" t="s">
        <v>70</v>
      </c>
      <c r="B12" s="12">
        <v>5510</v>
      </c>
      <c r="C12" s="12"/>
    </row>
    <row r="13" spans="1:3" x14ac:dyDescent="0.25">
      <c r="A13" t="s">
        <v>71</v>
      </c>
      <c r="B13" s="12">
        <v>44</v>
      </c>
      <c r="C13" s="12"/>
    </row>
    <row r="14" spans="1:3" x14ac:dyDescent="0.25">
      <c r="A14" t="s">
        <v>72</v>
      </c>
      <c r="B14" s="12"/>
      <c r="C14" s="12"/>
    </row>
    <row r="15" spans="1:3" x14ac:dyDescent="0.25">
      <c r="A15" t="s">
        <v>73</v>
      </c>
      <c r="B15" s="12">
        <v>45</v>
      </c>
      <c r="C15" s="12"/>
    </row>
    <row r="16" spans="1:3" x14ac:dyDescent="0.25">
      <c r="A16" t="s">
        <v>74</v>
      </c>
      <c r="B16" s="12"/>
      <c r="C16" s="12"/>
    </row>
    <row r="17" spans="1:3" x14ac:dyDescent="0.25">
      <c r="A17" t="s">
        <v>75</v>
      </c>
      <c r="B17" s="12"/>
      <c r="C17" s="12"/>
    </row>
    <row r="18" spans="1:3" x14ac:dyDescent="0.25">
      <c r="A18" t="s">
        <v>76</v>
      </c>
      <c r="B18" s="12"/>
      <c r="C18" s="12"/>
    </row>
    <row r="19" spans="1:3" x14ac:dyDescent="0.25">
      <c r="A19" t="s">
        <v>77</v>
      </c>
      <c r="B19" s="10">
        <v>357.5789905913978</v>
      </c>
      <c r="C19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FormatPr defaultRowHeight="15" outlineLevelRow="0" outlineLevelCol="0" x14ac:dyDescent="55"/>
  <cols>
    <col min="1" max="1" width="14" customWidth="1"/>
  </cols>
  <sheetData>
    <row r="1" spans="1:1" x14ac:dyDescent="0.25">
      <c r="A1" s="14" t="s">
        <v>78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6" spans="3:17" x14ac:dyDescent="0.25">
      <c r="C6" t="s">
        <v>82</v>
      </c>
      <c r="J6" t="s">
        <v>83</v>
      </c>
      <c r="Q6" t="s">
        <v>84</v>
      </c>
    </row>
    <row r="7" spans="1:22" x14ac:dyDescent="0.25">
      <c r="A7" s="5" t="s">
        <v>85</v>
      </c>
      <c r="C7" s="5" t="s">
        <v>86</v>
      </c>
      <c r="E7" s="5" t="s">
        <v>87</v>
      </c>
      <c r="G7" s="5" t="s">
        <v>88</v>
      </c>
      <c r="H7" s="5" t="s">
        <v>89</v>
      </c>
      <c r="J7" s="5" t="s">
        <v>86</v>
      </c>
      <c r="L7" s="5" t="s">
        <v>87</v>
      </c>
      <c r="N7" s="5" t="s">
        <v>90</v>
      </c>
      <c r="O7" s="5" t="s">
        <v>89</v>
      </c>
      <c r="Q7" s="5" t="s">
        <v>86</v>
      </c>
      <c r="S7" s="5" t="s">
        <v>87</v>
      </c>
      <c r="U7" s="5" t="s">
        <v>91</v>
      </c>
      <c r="V7" s="5" t="s">
        <v>89</v>
      </c>
    </row>
    <row r="8" spans="3:20" x14ac:dyDescent="0.25">
      <c r="C8" s="5" t="s">
        <v>92</v>
      </c>
      <c r="D8" s="5" t="s">
        <v>93</v>
      </c>
      <c r="E8" s="5" t="s">
        <v>92</v>
      </c>
      <c r="F8" s="5" t="s">
        <v>93</v>
      </c>
      <c r="J8" s="5" t="s">
        <v>92</v>
      </c>
      <c r="K8" s="5" t="s">
        <v>93</v>
      </c>
      <c r="L8" s="5" t="s">
        <v>92</v>
      </c>
      <c r="M8" s="5" t="s">
        <v>93</v>
      </c>
      <c r="Q8" s="5" t="s">
        <v>92</v>
      </c>
      <c r="R8" s="5" t="s">
        <v>93</v>
      </c>
      <c r="S8" s="5" t="s">
        <v>92</v>
      </c>
      <c r="T8" s="5" t="s">
        <v>93</v>
      </c>
    </row>
    <row r="9" spans="1:21" x14ac:dyDescent="0.25">
      <c r="A9" t="s">
        <v>94</v>
      </c>
      <c r="C9" s="13">
        <v>74.05913978494624</v>
      </c>
      <c r="D9" s="13">
        <v>75.58</v>
      </c>
      <c r="G9" s="13">
        <v>97.99</v>
      </c>
      <c r="J9" s="13">
        <v>482.82898185117966</v>
      </c>
      <c r="K9" s="13">
        <v>475.87</v>
      </c>
      <c r="N9" s="13">
        <v>101.46</v>
      </c>
      <c r="Q9" s="13">
        <v>357.5789905913978</v>
      </c>
      <c r="R9" s="13">
        <v>359.65</v>
      </c>
      <c r="U9" s="13">
        <v>99.42</v>
      </c>
    </row>
    <row r="22" spans="1:1" x14ac:dyDescent="0.25">
      <c r="A2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FormatPr defaultRowHeight="15" outlineLevelRow="0" outlineLevelCol="0" x14ac:dyDescent="55"/>
  <cols>
    <col min="1" max="1" width="14" customWidth="1"/>
  </cols>
  <sheetData>
    <row r="1" spans="1:1" x14ac:dyDescent="0.25">
      <c r="A1" s="14" t="s">
        <v>96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6" spans="4:18" x14ac:dyDescent="0.25">
      <c r="D6" t="s">
        <v>82</v>
      </c>
      <c r="K6" t="s">
        <v>83</v>
      </c>
      <c r="R6" t="s">
        <v>84</v>
      </c>
    </row>
    <row r="7" spans="1:23" x14ac:dyDescent="0.25">
      <c r="A7" s="5" t="s">
        <v>85</v>
      </c>
      <c r="B7" s="5" t="s">
        <v>97</v>
      </c>
      <c r="D7" s="5" t="s">
        <v>86</v>
      </c>
      <c r="F7" s="5" t="s">
        <v>87</v>
      </c>
      <c r="H7" s="5" t="s">
        <v>88</v>
      </c>
      <c r="I7" s="5" t="s">
        <v>89</v>
      </c>
      <c r="K7" s="5" t="s">
        <v>86</v>
      </c>
      <c r="M7" s="5" t="s">
        <v>87</v>
      </c>
      <c r="O7" s="5" t="s">
        <v>90</v>
      </c>
      <c r="P7" s="5" t="s">
        <v>89</v>
      </c>
      <c r="R7" s="5" t="s">
        <v>86</v>
      </c>
      <c r="T7" s="5" t="s">
        <v>87</v>
      </c>
      <c r="V7" s="5" t="s">
        <v>91</v>
      </c>
      <c r="W7" s="5" t="s">
        <v>89</v>
      </c>
    </row>
    <row r="8" spans="4:21" x14ac:dyDescent="0.25">
      <c r="D8" s="5" t="s">
        <v>92</v>
      </c>
      <c r="E8" s="5" t="s">
        <v>93</v>
      </c>
      <c r="F8" s="5" t="s">
        <v>92</v>
      </c>
      <c r="G8" s="5" t="s">
        <v>93</v>
      </c>
      <c r="K8" s="5" t="s">
        <v>92</v>
      </c>
      <c r="L8" s="5" t="s">
        <v>93</v>
      </c>
      <c r="M8" s="5" t="s">
        <v>92</v>
      </c>
      <c r="N8" s="5" t="s">
        <v>93</v>
      </c>
      <c r="R8" s="5" t="s">
        <v>92</v>
      </c>
      <c r="S8" s="5" t="s">
        <v>93</v>
      </c>
      <c r="T8" s="5" t="s">
        <v>92</v>
      </c>
      <c r="U8" s="5" t="s">
        <v>93</v>
      </c>
    </row>
    <row r="9" spans="1:22" x14ac:dyDescent="0.25">
      <c r="A9" t="s">
        <v>98</v>
      </c>
      <c r="B9" t="s">
        <v>99</v>
      </c>
      <c r="D9" s="13">
        <v>75.80645161290323</v>
      </c>
      <c r="E9" s="13">
        <v>76.97</v>
      </c>
      <c r="H9" s="13">
        <v>98.49</v>
      </c>
      <c r="K9" s="13">
        <v>476.1680319148936</v>
      </c>
      <c r="L9" s="13">
        <v>479.68</v>
      </c>
      <c r="O9" s="13">
        <v>99.27</v>
      </c>
      <c r="R9" s="13">
        <v>360.9660887096774</v>
      </c>
      <c r="S9" s="13">
        <v>369.20969599999995</v>
      </c>
      <c r="V9" s="13">
        <v>97.77</v>
      </c>
    </row>
    <row r="10" spans="1:22" x14ac:dyDescent="0.25">
      <c r="A10" t="s">
        <v>100</v>
      </c>
      <c r="B10" t="s">
        <v>101</v>
      </c>
      <c r="D10" s="13">
        <v>75</v>
      </c>
      <c r="E10" s="13">
        <v>74.58</v>
      </c>
      <c r="H10" s="13">
        <v>100.56</v>
      </c>
      <c r="K10" s="13">
        <v>478.94258064516134</v>
      </c>
      <c r="L10" s="13">
        <v>478.92</v>
      </c>
      <c r="O10" s="13">
        <v>100</v>
      </c>
      <c r="R10" s="13">
        <v>359.206935483871</v>
      </c>
      <c r="S10" s="13">
        <v>357.178536</v>
      </c>
      <c r="V10" s="13">
        <v>100.57</v>
      </c>
    </row>
    <row r="11" spans="1:22" x14ac:dyDescent="0.25">
      <c r="A11" t="s">
        <v>102</v>
      </c>
      <c r="B11" t="s">
        <v>103</v>
      </c>
      <c r="D11" s="13">
        <v>84.67741935483872</v>
      </c>
      <c r="E11" s="13">
        <v>87.61</v>
      </c>
      <c r="H11" s="13">
        <v>96.65</v>
      </c>
      <c r="K11" s="13">
        <v>475.0420952380952</v>
      </c>
      <c r="L11" s="13">
        <v>477.91</v>
      </c>
      <c r="O11" s="13">
        <v>99.4</v>
      </c>
      <c r="R11" s="13">
        <v>402.2533870967742</v>
      </c>
      <c r="S11" s="13">
        <v>418.69695100000007</v>
      </c>
      <c r="V11" s="13">
        <v>96.07</v>
      </c>
    </row>
    <row r="12" spans="1:22" x14ac:dyDescent="0.25">
      <c r="A12" t="s">
        <v>104</v>
      </c>
      <c r="B12" t="s">
        <v>105</v>
      </c>
      <c r="D12" s="13">
        <v>78.2258064516129</v>
      </c>
      <c r="E12" s="13">
        <v>77.67</v>
      </c>
      <c r="H12" s="13">
        <v>100.72</v>
      </c>
      <c r="K12" s="13">
        <v>475.6415463917526</v>
      </c>
      <c r="L12" s="13">
        <v>475.63</v>
      </c>
      <c r="O12" s="13">
        <v>100</v>
      </c>
      <c r="R12" s="13">
        <v>372.074435483871</v>
      </c>
      <c r="S12" s="13">
        <v>369.42182099999997</v>
      </c>
      <c r="V12" s="13">
        <v>100.72</v>
      </c>
    </row>
    <row r="13" spans="1:22" x14ac:dyDescent="0.25">
      <c r="A13" t="s">
        <v>106</v>
      </c>
      <c r="B13" t="s">
        <v>107</v>
      </c>
      <c r="D13" s="13">
        <v>66.53225806451613</v>
      </c>
      <c r="E13" s="13">
        <v>68.12</v>
      </c>
      <c r="H13" s="13">
        <v>97.67</v>
      </c>
      <c r="K13" s="13">
        <v>471.07012121212125</v>
      </c>
      <c r="L13" s="13">
        <v>474.19</v>
      </c>
      <c r="O13" s="13">
        <v>99.34</v>
      </c>
      <c r="R13" s="13">
        <v>313.41358870967747</v>
      </c>
      <c r="S13" s="13">
        <v>323.018228</v>
      </c>
      <c r="V13" s="13">
        <v>97.03</v>
      </c>
    </row>
    <row r="14" spans="1:22" x14ac:dyDescent="0.25">
      <c r="A14" t="s">
        <v>108</v>
      </c>
      <c r="B14" t="s">
        <v>109</v>
      </c>
      <c r="D14" s="13">
        <v>72.98387096774194</v>
      </c>
      <c r="E14" s="13">
        <v>73.94</v>
      </c>
      <c r="H14" s="13">
        <v>98.71</v>
      </c>
      <c r="K14" s="13">
        <v>492.97646408839785</v>
      </c>
      <c r="L14" s="13">
        <v>487.98</v>
      </c>
      <c r="O14" s="13">
        <v>101.02</v>
      </c>
      <c r="R14" s="13">
        <v>359.7933064516129</v>
      </c>
      <c r="S14" s="13">
        <v>360.812412</v>
      </c>
      <c r="V14" s="13">
        <v>99.72</v>
      </c>
    </row>
    <row r="15" spans="1:22" x14ac:dyDescent="0.25">
      <c r="A15" t="s">
        <v>110</v>
      </c>
      <c r="B15" t="s">
        <v>111</v>
      </c>
      <c r="D15" s="13">
        <v>72.17741935483872</v>
      </c>
      <c r="E15" s="13">
        <v>76.22</v>
      </c>
      <c r="H15" s="13">
        <v>94.7</v>
      </c>
      <c r="K15" s="13">
        <v>494.83279329608945</v>
      </c>
      <c r="L15" s="13">
        <v>500.2</v>
      </c>
      <c r="O15" s="13">
        <v>98.93</v>
      </c>
      <c r="R15" s="13">
        <v>357.1575403225807</v>
      </c>
      <c r="S15" s="13">
        <v>381.25244</v>
      </c>
      <c r="V15" s="13">
        <v>93.68</v>
      </c>
    </row>
    <row r="16" spans="1:22" x14ac:dyDescent="0.25">
      <c r="A16" t="s">
        <v>112</v>
      </c>
      <c r="B16" t="s">
        <v>99</v>
      </c>
      <c r="D16" s="13">
        <v>70.16129032258065</v>
      </c>
      <c r="E16" s="13">
        <v>69.73</v>
      </c>
      <c r="H16" s="13">
        <v>100.62</v>
      </c>
      <c r="K16" s="13">
        <v>474.3000574712644</v>
      </c>
      <c r="L16" s="13">
        <v>462.57</v>
      </c>
      <c r="O16" s="13">
        <v>102.54</v>
      </c>
      <c r="R16" s="13">
        <v>332.77504032258065</v>
      </c>
      <c r="S16" s="13">
        <v>322.550061</v>
      </c>
      <c r="V16" s="13">
        <v>103.17</v>
      </c>
    </row>
    <row r="17" spans="1:22" x14ac:dyDescent="0.25">
      <c r="A17" t="s">
        <v>113</v>
      </c>
      <c r="B17" t="s">
        <v>101</v>
      </c>
      <c r="D17" s="13">
        <v>74.19354838709677</v>
      </c>
      <c r="E17" s="13">
        <v>75.85</v>
      </c>
      <c r="H17" s="13">
        <v>97.82</v>
      </c>
      <c r="K17" s="13">
        <v>489.5153260869566</v>
      </c>
      <c r="L17" s="13">
        <v>496.23</v>
      </c>
      <c r="O17" s="13">
        <v>98.65</v>
      </c>
      <c r="R17" s="13">
        <v>363.1887903225807</v>
      </c>
      <c r="S17" s="13">
        <v>376.390455</v>
      </c>
      <c r="V17" s="13">
        <v>96.49</v>
      </c>
    </row>
    <row r="18" spans="1:22" x14ac:dyDescent="0.25">
      <c r="A18" t="s">
        <v>114</v>
      </c>
      <c r="B18" t="s">
        <v>103</v>
      </c>
      <c r="D18" s="13">
        <v>83.06451612903226</v>
      </c>
      <c r="E18" s="13">
        <v>84.7</v>
      </c>
      <c r="H18" s="13">
        <v>98.07</v>
      </c>
      <c r="K18" s="13">
        <v>474.3709708737864</v>
      </c>
      <c r="L18" s="13">
        <v>466.76</v>
      </c>
      <c r="O18" s="13">
        <v>101.63</v>
      </c>
      <c r="R18" s="13">
        <v>394.0339516129032</v>
      </c>
      <c r="S18" s="13">
        <v>395.34572000000003</v>
      </c>
      <c r="V18" s="13">
        <v>99.67</v>
      </c>
    </row>
    <row r="19" spans="1:22" x14ac:dyDescent="0.25">
      <c r="A19" t="s">
        <v>115</v>
      </c>
      <c r="B19" t="s">
        <v>105</v>
      </c>
      <c r="D19" s="13">
        <v>82.66129032258065</v>
      </c>
      <c r="E19" s="13">
        <v>82.02</v>
      </c>
      <c r="H19" s="13">
        <v>100.78</v>
      </c>
      <c r="K19" s="13">
        <v>484.62497560975606</v>
      </c>
      <c r="L19" s="13">
        <v>492.43</v>
      </c>
      <c r="O19" s="13">
        <v>98.41</v>
      </c>
      <c r="R19" s="13">
        <v>400.5972580645161</v>
      </c>
      <c r="S19" s="13">
        <v>403.891086</v>
      </c>
      <c r="V19" s="13">
        <v>99.18</v>
      </c>
    </row>
    <row r="20" spans="1:22" x14ac:dyDescent="0.25">
      <c r="A20" t="s">
        <v>116</v>
      </c>
      <c r="B20" t="s">
        <v>107</v>
      </c>
      <c r="D20" s="13">
        <v>63.306451612903224</v>
      </c>
      <c r="E20" s="13">
        <v>63</v>
      </c>
      <c r="H20" s="13">
        <v>100.49</v>
      </c>
      <c r="K20" s="13">
        <v>476.0399363057325</v>
      </c>
      <c r="L20" s="13">
        <v>483.74</v>
      </c>
      <c r="O20" s="13">
        <v>98.41</v>
      </c>
      <c r="R20" s="13">
        <v>301.3639919354839</v>
      </c>
      <c r="S20" s="13">
        <v>304.7562</v>
      </c>
      <c r="V20" s="13">
        <v>98.89</v>
      </c>
    </row>
    <row r="21" spans="1:22" x14ac:dyDescent="0.25">
      <c r="A21" t="s">
        <v>117</v>
      </c>
      <c r="B21" t="s">
        <v>109</v>
      </c>
      <c r="D21" s="13">
        <v>75</v>
      </c>
      <c r="E21" s="13">
        <v>78.93</v>
      </c>
      <c r="H21" s="13">
        <v>95.02</v>
      </c>
      <c r="K21" s="13">
        <v>480.07139784946236</v>
      </c>
      <c r="L21" s="13">
        <v>474.57</v>
      </c>
      <c r="O21" s="13">
        <v>101.16</v>
      </c>
      <c r="R21" s="13">
        <v>360.0535483870968</v>
      </c>
      <c r="S21" s="13">
        <v>374.578101</v>
      </c>
      <c r="V21" s="13">
        <v>96.12</v>
      </c>
    </row>
    <row r="22" spans="1:22" x14ac:dyDescent="0.25">
      <c r="A22" t="s">
        <v>118</v>
      </c>
      <c r="B22" t="s">
        <v>111</v>
      </c>
      <c r="D22" s="13">
        <v>72.98387096774194</v>
      </c>
      <c r="E22" s="13">
        <v>72.63</v>
      </c>
      <c r="H22" s="13">
        <v>100.49</v>
      </c>
      <c r="K22" s="13">
        <v>470.39718232044197</v>
      </c>
      <c r="L22" s="13">
        <v>478.75</v>
      </c>
      <c r="O22" s="13">
        <v>98.26</v>
      </c>
      <c r="R22" s="13">
        <v>343.31407258064513</v>
      </c>
      <c r="S22" s="13">
        <v>347.716125</v>
      </c>
      <c r="V22" s="13">
        <v>98.73</v>
      </c>
    </row>
    <row r="23" spans="1:22" x14ac:dyDescent="0.25">
      <c r="A23" t="s">
        <v>119</v>
      </c>
      <c r="B23" t="s">
        <v>99</v>
      </c>
      <c r="D23" s="13">
        <v>69.75806451612904</v>
      </c>
      <c r="E23" s="13">
        <v>74.18</v>
      </c>
      <c r="H23" s="13">
        <v>94.04</v>
      </c>
      <c r="K23" s="13">
        <v>478.51936416184975</v>
      </c>
      <c r="L23" s="13">
        <v>485.14</v>
      </c>
      <c r="O23" s="13">
        <v>98.64</v>
      </c>
      <c r="R23" s="13">
        <v>333.8058467741936</v>
      </c>
      <c r="S23" s="13">
        <v>359.876852</v>
      </c>
      <c r="V23" s="13">
        <v>92.76</v>
      </c>
    </row>
    <row r="24" spans="1:22" x14ac:dyDescent="0.25">
      <c r="A24" t="s">
        <v>120</v>
      </c>
      <c r="B24" t="s">
        <v>101</v>
      </c>
      <c r="D24" s="13">
        <v>72.58064516129032</v>
      </c>
      <c r="E24" s="13">
        <v>73.37</v>
      </c>
      <c r="H24" s="13">
        <v>98.92</v>
      </c>
      <c r="K24" s="13">
        <v>483.8579444444444</v>
      </c>
      <c r="L24" s="13">
        <v>487.25</v>
      </c>
      <c r="O24" s="13">
        <v>99.3</v>
      </c>
      <c r="R24" s="13">
        <v>351.18721774193546</v>
      </c>
      <c r="S24" s="13">
        <v>357.49532500000004</v>
      </c>
      <c r="V24" s="13">
        <v>98.24</v>
      </c>
    </row>
    <row r="25" spans="1:22" x14ac:dyDescent="0.25">
      <c r="A25" t="s">
        <v>121</v>
      </c>
      <c r="B25" t="s">
        <v>103</v>
      </c>
      <c r="D25" s="13">
        <v>85.08064516129032</v>
      </c>
      <c r="E25" s="13">
        <v>89.21</v>
      </c>
      <c r="H25" s="13">
        <v>95.37</v>
      </c>
      <c r="K25" s="13">
        <v>478.56895734597157</v>
      </c>
      <c r="L25" s="13">
        <v>480.27</v>
      </c>
      <c r="O25" s="13">
        <v>99.65</v>
      </c>
      <c r="R25" s="13">
        <v>407.1695564516129</v>
      </c>
      <c r="S25" s="13">
        <v>428.44886699999995</v>
      </c>
      <c r="V25" s="13">
        <v>95.03</v>
      </c>
    </row>
    <row r="26" spans="1:22" x14ac:dyDescent="0.25">
      <c r="A26" t="s">
        <v>122</v>
      </c>
      <c r="B26" t="s">
        <v>105</v>
      </c>
      <c r="D26" s="13">
        <v>80.24193548387096</v>
      </c>
      <c r="E26" s="13">
        <v>82.88</v>
      </c>
      <c r="H26" s="13">
        <v>96.82</v>
      </c>
      <c r="K26" s="13">
        <v>477.3116582914573</v>
      </c>
      <c r="L26" s="13">
        <v>469.16</v>
      </c>
      <c r="O26" s="13">
        <v>101.74</v>
      </c>
      <c r="R26" s="13">
        <v>383.0041129032258</v>
      </c>
      <c r="S26" s="13">
        <v>388.83980799999995</v>
      </c>
      <c r="V26" s="13">
        <v>98.5</v>
      </c>
    </row>
    <row r="27" spans="1:22" x14ac:dyDescent="0.25">
      <c r="A27" t="s">
        <v>123</v>
      </c>
      <c r="B27" t="s">
        <v>107</v>
      </c>
      <c r="D27" s="13">
        <v>66.12903225806451</v>
      </c>
      <c r="E27" s="13">
        <v>65.96</v>
      </c>
      <c r="H27" s="13">
        <v>100.26</v>
      </c>
      <c r="K27" s="13">
        <v>476.37170731707323</v>
      </c>
      <c r="L27" s="13">
        <v>464.53</v>
      </c>
      <c r="O27" s="13">
        <v>102.55</v>
      </c>
      <c r="R27" s="13">
        <v>315.02000000000004</v>
      </c>
      <c r="S27" s="13">
        <v>306.40398799999997</v>
      </c>
      <c r="V27" s="13">
        <v>102.81</v>
      </c>
    </row>
    <row r="28" spans="1:22" x14ac:dyDescent="0.25">
      <c r="A28" t="s">
        <v>124</v>
      </c>
      <c r="B28" t="s">
        <v>109</v>
      </c>
      <c r="D28" s="13">
        <v>73.79032258064517</v>
      </c>
      <c r="E28" s="13">
        <v>77.74</v>
      </c>
      <c r="H28" s="13">
        <v>94.92</v>
      </c>
      <c r="K28" s="13">
        <v>475.37841530054646</v>
      </c>
      <c r="L28" s="13">
        <v>473.82</v>
      </c>
      <c r="O28" s="13">
        <v>100.33</v>
      </c>
      <c r="R28" s="13">
        <v>350.78326612903226</v>
      </c>
      <c r="S28" s="13">
        <v>368.347668</v>
      </c>
      <c r="V28" s="13">
        <v>95.23</v>
      </c>
    </row>
    <row r="29" spans="1:22" x14ac:dyDescent="0.25">
      <c r="A29" t="s">
        <v>125</v>
      </c>
      <c r="B29" t="s">
        <v>111</v>
      </c>
      <c r="D29" s="13">
        <v>74.19354838709677</v>
      </c>
      <c r="E29" s="13">
        <v>77.76</v>
      </c>
      <c r="H29" s="13">
        <v>95.41</v>
      </c>
      <c r="K29" s="13">
        <v>478.2069021739131</v>
      </c>
      <c r="L29" s="13">
        <v>471.9</v>
      </c>
      <c r="O29" s="13">
        <v>101.34</v>
      </c>
      <c r="R29" s="13">
        <v>354.79866935483875</v>
      </c>
      <c r="S29" s="13">
        <v>366.94944000000004</v>
      </c>
      <c r="V29" s="13">
        <v>96.69</v>
      </c>
    </row>
    <row r="30" spans="1:22" x14ac:dyDescent="0.25">
      <c r="A30" t="s">
        <v>126</v>
      </c>
      <c r="B30" t="s">
        <v>99</v>
      </c>
      <c r="D30" s="13">
        <v>69.35483870967742</v>
      </c>
      <c r="E30" s="13">
        <v>70.2</v>
      </c>
      <c r="H30" s="13">
        <v>98.8</v>
      </c>
      <c r="K30" s="13">
        <v>497.4054651162791</v>
      </c>
      <c r="L30" s="13">
        <v>501.2</v>
      </c>
      <c r="O30" s="13">
        <v>99.24</v>
      </c>
      <c r="R30" s="13">
        <v>344.97475806451615</v>
      </c>
      <c r="S30" s="13">
        <v>351.8424</v>
      </c>
      <c r="V30" s="13">
        <v>98.05</v>
      </c>
    </row>
    <row r="31" spans="1:22" x14ac:dyDescent="0.25">
      <c r="A31" t="s">
        <v>127</v>
      </c>
      <c r="B31" t="s">
        <v>101</v>
      </c>
      <c r="D31" s="13">
        <v>74.59677419354838</v>
      </c>
      <c r="E31" s="13">
        <v>74.36</v>
      </c>
      <c r="H31" s="13">
        <v>100.32</v>
      </c>
      <c r="K31" s="13">
        <v>481.8661081081081</v>
      </c>
      <c r="L31" s="13">
        <v>471.3</v>
      </c>
      <c r="O31" s="13">
        <v>102.24</v>
      </c>
      <c r="R31" s="13">
        <v>359.4565725806452</v>
      </c>
      <c r="S31" s="13">
        <v>350.45868</v>
      </c>
      <c r="V31" s="13">
        <v>102.57</v>
      </c>
    </row>
    <row r="32" spans="1:22" x14ac:dyDescent="0.25">
      <c r="A32" t="s">
        <v>128</v>
      </c>
      <c r="B32" t="s">
        <v>103</v>
      </c>
      <c r="D32" s="13">
        <v>83.46774193548387</v>
      </c>
      <c r="E32" s="13">
        <v>84.28</v>
      </c>
      <c r="H32" s="13">
        <v>99.04</v>
      </c>
      <c r="K32" s="13">
        <v>474.1007246376812</v>
      </c>
      <c r="L32" s="13">
        <v>467.12</v>
      </c>
      <c r="O32" s="13">
        <v>101.49</v>
      </c>
      <c r="R32" s="13">
        <v>395.7211693548387</v>
      </c>
      <c r="S32" s="13">
        <v>393.688736</v>
      </c>
      <c r="V32" s="13">
        <v>100.52</v>
      </c>
    </row>
    <row r="33" spans="1:22" x14ac:dyDescent="0.25">
      <c r="A33" t="s">
        <v>129</v>
      </c>
      <c r="B33" t="s">
        <v>105</v>
      </c>
      <c r="D33" s="13">
        <v>79.83870967741935</v>
      </c>
      <c r="E33" s="13">
        <v>80.81</v>
      </c>
      <c r="H33" s="13">
        <v>98.8</v>
      </c>
      <c r="K33" s="13">
        <v>487.2546969696969</v>
      </c>
      <c r="L33" s="13">
        <v>493.38</v>
      </c>
      <c r="O33" s="13">
        <v>98.76</v>
      </c>
      <c r="R33" s="13">
        <v>389.01786290322576</v>
      </c>
      <c r="S33" s="13">
        <v>398.700378</v>
      </c>
      <c r="V33" s="13">
        <v>97.57</v>
      </c>
    </row>
    <row r="34" spans="1:22" x14ac:dyDescent="0.25">
      <c r="A34" t="s">
        <v>130</v>
      </c>
      <c r="B34" t="s">
        <v>107</v>
      </c>
      <c r="D34" s="13">
        <v>63.70967741935484</v>
      </c>
      <c r="E34" s="13">
        <v>65.19</v>
      </c>
      <c r="H34" s="13">
        <v>97.73</v>
      </c>
      <c r="K34" s="13">
        <v>487.8088607594937</v>
      </c>
      <c r="L34" s="13">
        <v>496.96</v>
      </c>
      <c r="O34" s="13">
        <v>98.16</v>
      </c>
      <c r="R34" s="13">
        <v>310.78145161290325</v>
      </c>
      <c r="S34" s="13">
        <v>323.96822399999996</v>
      </c>
      <c r="V34" s="13">
        <v>95.93</v>
      </c>
    </row>
    <row r="35" spans="1:22" x14ac:dyDescent="0.25">
      <c r="A35" t="s">
        <v>131</v>
      </c>
      <c r="B35" t="s">
        <v>109</v>
      </c>
      <c r="D35" s="13">
        <v>69.75806451612904</v>
      </c>
      <c r="E35" s="13">
        <v>70.19</v>
      </c>
      <c r="H35" s="13">
        <v>99.38</v>
      </c>
      <c r="K35" s="13">
        <v>491.61341040462423</v>
      </c>
      <c r="L35" s="13">
        <v>477.16</v>
      </c>
      <c r="O35" s="13">
        <v>103.03</v>
      </c>
      <c r="R35" s="13">
        <v>342.94</v>
      </c>
      <c r="S35" s="13">
        <v>334.91860399999996</v>
      </c>
      <c r="V35" s="13">
        <v>102.4</v>
      </c>
    </row>
    <row r="36" spans="1:22" x14ac:dyDescent="0.25">
      <c r="A36" t="s">
        <v>132</v>
      </c>
      <c r="B36" t="s">
        <v>111</v>
      </c>
      <c r="D36" s="13">
        <v>69.75806451612904</v>
      </c>
      <c r="E36" s="13">
        <v>74.7</v>
      </c>
      <c r="H36" s="13">
        <v>93.38</v>
      </c>
      <c r="K36" s="13">
        <v>481.87063583815024</v>
      </c>
      <c r="L36" s="13">
        <v>477.42</v>
      </c>
      <c r="O36" s="13">
        <v>100.93</v>
      </c>
      <c r="R36" s="13">
        <v>336.14362903225805</v>
      </c>
      <c r="S36" s="13">
        <v>356.63274000000007</v>
      </c>
      <c r="V36" s="13">
        <v>94.25</v>
      </c>
    </row>
    <row r="37" spans="1:22" x14ac:dyDescent="0.25">
      <c r="A37" t="s">
        <v>133</v>
      </c>
      <c r="B37" t="s">
        <v>99</v>
      </c>
      <c r="D37" s="13">
        <v>69.75806451612904</v>
      </c>
      <c r="E37" s="13">
        <v>69.8</v>
      </c>
      <c r="H37" s="13">
        <v>99.94</v>
      </c>
      <c r="K37" s="13">
        <v>491.1136994219653</v>
      </c>
      <c r="L37" s="13">
        <v>497.9</v>
      </c>
      <c r="O37" s="13">
        <v>98.64</v>
      </c>
      <c r="R37" s="13">
        <v>342.5914112903226</v>
      </c>
      <c r="S37" s="13">
        <v>347.5342</v>
      </c>
      <c r="V37" s="13">
        <v>98.58</v>
      </c>
    </row>
    <row r="38" spans="1:22" x14ac:dyDescent="0.25">
      <c r="A38" t="s">
        <v>134</v>
      </c>
      <c r="B38" t="s">
        <v>101</v>
      </c>
      <c r="D38" s="13">
        <v>72.98387096774194</v>
      </c>
      <c r="E38" s="13">
        <v>74.64</v>
      </c>
      <c r="H38" s="13">
        <v>97.78</v>
      </c>
      <c r="K38" s="13">
        <v>534.0661878453038</v>
      </c>
      <c r="L38" s="13">
        <v>537.98</v>
      </c>
      <c r="O38" s="13">
        <v>99.27</v>
      </c>
      <c r="R38" s="13">
        <v>389.7821774193548</v>
      </c>
      <c r="S38" s="13">
        <v>401.548272</v>
      </c>
      <c r="V38" s="13">
        <v>97.07</v>
      </c>
    </row>
    <row r="45" spans="1:1" x14ac:dyDescent="0.25">
      <c r="A4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8" customWidth="1"/>
    <col min="2" max="4" width="18" customWidth="1"/>
  </cols>
  <sheetData>
    <row r="1" spans="1:1" x14ac:dyDescent="0.25">
      <c r="A1" s="14" t="s">
        <v>135</v>
      </c>
    </row>
    <row r="4" spans="1:4" x14ac:dyDescent="0.25">
      <c r="A4" t="s">
        <v>1</v>
      </c>
      <c r="B4" s="5" t="s">
        <v>136</v>
      </c>
      <c r="C4" s="5" t="s">
        <v>137</v>
      </c>
      <c r="D4" s="5" t="s">
        <v>138</v>
      </c>
    </row>
    <row r="5" spans="1:4" x14ac:dyDescent="0.25">
      <c r="A5" t="s">
        <v>139</v>
      </c>
      <c r="B5" s="12">
        <v>236</v>
      </c>
      <c r="C5" s="12">
        <v>234</v>
      </c>
      <c r="D5" s="12"/>
    </row>
    <row r="6" spans="1:4" x14ac:dyDescent="0.25">
      <c r="A6" t="s">
        <v>140</v>
      </c>
      <c r="B6" s="12">
        <v>7440</v>
      </c>
      <c r="C6" s="12">
        <v>7440</v>
      </c>
      <c r="D6" s="12"/>
    </row>
    <row r="7" spans="1:4" x14ac:dyDescent="0.25">
      <c r="A7" t="s">
        <v>141</v>
      </c>
      <c r="B7" s="12">
        <v>5510</v>
      </c>
      <c r="C7" s="12">
        <v>5468</v>
      </c>
      <c r="D7" s="12"/>
    </row>
    <row r="8" spans="1:4" x14ac:dyDescent="0.25">
      <c r="A8" t="s">
        <v>142</v>
      </c>
      <c r="B8" s="10">
        <v>4150790.38</v>
      </c>
      <c r="C8" s="10">
        <v>4229379.6</v>
      </c>
      <c r="D8" s="10"/>
    </row>
    <row r="9" spans="1:4" x14ac:dyDescent="0.25">
      <c r="A9" t="s">
        <v>143</v>
      </c>
      <c r="B9" s="10">
        <v>64253.97</v>
      </c>
      <c r="C9" s="10">
        <v>59526.8</v>
      </c>
      <c r="D9" s="10"/>
    </row>
    <row r="10" spans="1:4" x14ac:dyDescent="0.25">
      <c r="A10" t="s">
        <v>144</v>
      </c>
      <c r="B10" s="10">
        <v>40641.38</v>
      </c>
      <c r="C10" s="10">
        <v>39684.53</v>
      </c>
      <c r="D10" s="10"/>
    </row>
    <row r="11" spans="1:4" x14ac:dyDescent="0.25">
      <c r="A11" t="s">
        <v>145</v>
      </c>
      <c r="B11" s="10">
        <v>1333556.63</v>
      </c>
      <c r="C11" s="10">
        <v>1322817.72</v>
      </c>
      <c r="D11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5" width="18" customWidth="1"/>
  </cols>
  <sheetData>
    <row r="1" spans="1:1" x14ac:dyDescent="0.25">
      <c r="A1" s="14" t="s">
        <v>146</v>
      </c>
    </row>
    <row r="3" spans="1:5" x14ac:dyDescent="0.25">
      <c r="A3" s="5" t="s">
        <v>147</v>
      </c>
      <c r="B3" s="5" t="s">
        <v>148</v>
      </c>
      <c r="C3" s="5" t="s">
        <v>149</v>
      </c>
      <c r="D3" s="5" t="s">
        <v>150</v>
      </c>
      <c r="E3" s="5" t="s">
        <v>151</v>
      </c>
    </row>
    <row r="4" spans="1:5" x14ac:dyDescent="0.25">
      <c r="A4" t="s">
        <v>152</v>
      </c>
      <c r="E4">
        <v>71</v>
      </c>
    </row>
    <row r="5" spans="1:5" x14ac:dyDescent="0.25">
      <c r="A5" t="s">
        <v>153</v>
      </c>
      <c r="E5">
        <v>90</v>
      </c>
    </row>
    <row r="6" spans="1:5" x14ac:dyDescent="0.25">
      <c r="A6" t="s">
        <v>154</v>
      </c>
      <c r="E6">
        <v>28</v>
      </c>
    </row>
    <row r="7" spans="1:5" x14ac:dyDescent="0.25">
      <c r="A7" t="s">
        <v>155</v>
      </c>
      <c r="E7">
        <v>14</v>
      </c>
    </row>
    <row r="8" spans="1:5" x14ac:dyDescent="0.25">
      <c r="A8" t="s">
        <v>156</v>
      </c>
      <c r="E8">
        <v>24</v>
      </c>
    </row>
    <row r="9" spans="1:5" x14ac:dyDescent="0.25">
      <c r="A9" t="s">
        <v>157</v>
      </c>
      <c r="E9">
        <v>9</v>
      </c>
    </row>
    <row r="10" spans="1:5" s="6" customFormat="1" x14ac:dyDescent="0.25">
      <c r="A10" s="6" t="s">
        <v>158</v>
      </c>
      <c r="B10" s="6">
        <v>6</v>
      </c>
      <c r="C10" s="6">
        <v>6</v>
      </c>
      <c r="D10" s="6">
        <v>0</v>
      </c>
      <c r="E10" s="6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4" customWidth="1"/>
    <col min="2" max="3" width="18" customWidth="1"/>
  </cols>
  <sheetData>
    <row r="1" spans="1:1" x14ac:dyDescent="0.25">
      <c r="A1" s="15" t="s">
        <v>159</v>
      </c>
    </row>
    <row r="3" spans="1:3" x14ac:dyDescent="0.25">
      <c r="A3" s="5" t="s">
        <v>160</v>
      </c>
      <c r="B3" s="5" t="s">
        <v>161</v>
      </c>
      <c r="C3" s="5" t="s">
        <v>66</v>
      </c>
    </row>
    <row r="4" spans="1:3" x14ac:dyDescent="0.25">
      <c r="A4" t="s">
        <v>162</v>
      </c>
      <c r="B4" s="12">
        <v>2094</v>
      </c>
      <c r="C4" s="10">
        <v>1100907.16</v>
      </c>
    </row>
    <row r="5" spans="1:3" x14ac:dyDescent="0.25">
      <c r="A5" t="s">
        <v>163</v>
      </c>
      <c r="B5" s="12">
        <v>1322</v>
      </c>
      <c r="C5" s="10">
        <v>662199.8</v>
      </c>
    </row>
    <row r="6" spans="1:3" x14ac:dyDescent="0.25">
      <c r="A6" t="s">
        <v>164</v>
      </c>
      <c r="B6" s="12">
        <v>661</v>
      </c>
      <c r="C6" s="10">
        <v>304611.91</v>
      </c>
    </row>
    <row r="7" spans="1:3" x14ac:dyDescent="0.25">
      <c r="A7" t="s">
        <v>165</v>
      </c>
      <c r="B7" s="12">
        <v>771</v>
      </c>
      <c r="C7" s="10">
        <v>278123.92</v>
      </c>
    </row>
    <row r="8" spans="1:3" x14ac:dyDescent="0.25">
      <c r="A8" t="s">
        <v>166</v>
      </c>
      <c r="B8" s="12">
        <v>662</v>
      </c>
      <c r="C8" s="10">
        <v>314544.9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34" customWidth="1"/>
    <col min="2" max="4" width="18" customWidth="1"/>
  </cols>
  <sheetData>
    <row r="1" spans="1:1" x14ac:dyDescent="0.25">
      <c r="A1" s="15" t="s">
        <v>167</v>
      </c>
    </row>
    <row r="3" spans="1:4" x14ac:dyDescent="0.25">
      <c r="A3" s="5" t="s">
        <v>168</v>
      </c>
      <c r="B3" s="5" t="s">
        <v>161</v>
      </c>
      <c r="C3" s="5" t="s">
        <v>66</v>
      </c>
      <c r="D3" s="5" t="s">
        <v>169</v>
      </c>
    </row>
    <row r="4" spans="1:4" x14ac:dyDescent="0.25">
      <c r="A4" t="s">
        <v>170</v>
      </c>
      <c r="B4" s="12">
        <v>827</v>
      </c>
      <c r="C4" s="10">
        <v>444401.71</v>
      </c>
      <c r="D4" s="10">
        <v>8888.03</v>
      </c>
    </row>
    <row r="5" spans="1:4" x14ac:dyDescent="0.25">
      <c r="A5" t="s">
        <v>171</v>
      </c>
      <c r="B5" s="12">
        <v>1267</v>
      </c>
      <c r="C5" s="10">
        <v>655150.58</v>
      </c>
      <c r="D5" s="10">
        <v>98272.59</v>
      </c>
    </row>
    <row r="6" spans="1:4" x14ac:dyDescent="0.25">
      <c r="A6" t="s">
        <v>172</v>
      </c>
      <c r="B6" s="12">
        <v>606</v>
      </c>
      <c r="C6" s="10">
        <v>307211.14</v>
      </c>
      <c r="D6" s="10">
        <v>52225.89</v>
      </c>
    </row>
    <row r="7" spans="1:4" x14ac:dyDescent="0.25">
      <c r="A7" t="s">
        <v>173</v>
      </c>
      <c r="B7" s="12">
        <v>220</v>
      </c>
      <c r="C7" s="10">
        <v>107067.65</v>
      </c>
      <c r="D7" s="10">
        <v>17130.82</v>
      </c>
    </row>
    <row r="8" spans="1:4" x14ac:dyDescent="0.25">
      <c r="A8" t="s">
        <v>163</v>
      </c>
      <c r="B8" s="12">
        <v>992</v>
      </c>
      <c r="C8" s="10">
        <v>477748.82</v>
      </c>
      <c r="D8" s="10"/>
    </row>
    <row r="9" spans="1:4" x14ac:dyDescent="0.25">
      <c r="A9" t="s">
        <v>174</v>
      </c>
      <c r="B9" s="12">
        <v>496</v>
      </c>
      <c r="C9" s="10">
        <v>206186.33</v>
      </c>
      <c r="D9" s="10">
        <v>20618.63</v>
      </c>
    </row>
    <row r="10" spans="1:4" x14ac:dyDescent="0.25">
      <c r="A10" t="s">
        <v>175</v>
      </c>
      <c r="B10" s="12">
        <v>771</v>
      </c>
      <c r="C10" s="10">
        <v>281417.58</v>
      </c>
      <c r="D10" s="10"/>
    </row>
    <row r="11" spans="1:4" x14ac:dyDescent="0.25">
      <c r="A11" t="s">
        <v>176</v>
      </c>
      <c r="B11" s="12">
        <v>165</v>
      </c>
      <c r="C11" s="10">
        <v>93684.19</v>
      </c>
      <c r="D11" s="10"/>
    </row>
    <row r="12" spans="1:4" x14ac:dyDescent="0.25">
      <c r="A12" t="s">
        <v>177</v>
      </c>
      <c r="B12" s="12">
        <v>166</v>
      </c>
      <c r="C12" s="10">
        <v>87519.69</v>
      </c>
      <c r="D12" s="10">
        <v>7001.58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4" customWidth="1"/>
    <col min="2" max="3" width="18" customWidth="1"/>
  </cols>
  <sheetData>
    <row r="1" spans="1:1" x14ac:dyDescent="0.25">
      <c r="A1" s="15" t="s">
        <v>178</v>
      </c>
    </row>
    <row r="3" spans="1:3" x14ac:dyDescent="0.25">
      <c r="A3" s="5" t="s">
        <v>179</v>
      </c>
      <c r="B3" s="5" t="s">
        <v>161</v>
      </c>
      <c r="C3" s="5" t="s">
        <v>66</v>
      </c>
    </row>
    <row r="4" spans="1:3" x14ac:dyDescent="0.25">
      <c r="A4" t="s">
        <v>180</v>
      </c>
      <c r="B4" s="12">
        <v>281</v>
      </c>
      <c r="C4" s="10">
        <v>97621.23</v>
      </c>
    </row>
    <row r="5" spans="1:3" x14ac:dyDescent="0.25">
      <c r="A5" t="s">
        <v>181</v>
      </c>
      <c r="B5" s="12">
        <v>200</v>
      </c>
      <c r="C5" s="10">
        <v>69362.45</v>
      </c>
    </row>
    <row r="6" spans="1:3" x14ac:dyDescent="0.25">
      <c r="A6" t="s">
        <v>182</v>
      </c>
      <c r="B6" s="12">
        <v>148</v>
      </c>
      <c r="C6" s="10">
        <v>51379.59</v>
      </c>
    </row>
    <row r="7" spans="1:3" x14ac:dyDescent="0.25">
      <c r="A7" t="s">
        <v>183</v>
      </c>
      <c r="B7" s="12">
        <v>111</v>
      </c>
      <c r="C7" s="10">
        <v>38534.69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34" customWidth="1"/>
    <col min="2" max="7" width="18" customWidth="1"/>
  </cols>
  <sheetData>
    <row r="1" spans="1:7" x14ac:dyDescent="0.25">
      <c r="A1" s="5" t="s">
        <v>184</v>
      </c>
      <c r="B1" s="5" t="s">
        <v>185</v>
      </c>
      <c r="C1" s="5" t="s">
        <v>186</v>
      </c>
      <c r="D1" s="5" t="s">
        <v>187</v>
      </c>
      <c r="E1" s="5" t="s">
        <v>188</v>
      </c>
      <c r="F1" s="5" t="s">
        <v>189</v>
      </c>
      <c r="G1" s="5" t="s">
        <v>190</v>
      </c>
    </row>
    <row r="2" spans="1:7" x14ac:dyDescent="0.25">
      <c r="A2" t="s">
        <v>191</v>
      </c>
      <c r="B2" s="12">
        <v>4028</v>
      </c>
      <c r="C2" s="10">
        <v>418696.9</v>
      </c>
      <c r="D2" s="10">
        <v>57095.03</v>
      </c>
      <c r="E2" s="10">
        <v>125803.37</v>
      </c>
      <c r="F2" s="10">
        <v>12565.57</v>
      </c>
      <c r="G2" s="10">
        <v>126945.77</v>
      </c>
    </row>
    <row r="3" spans="1:7" x14ac:dyDescent="0.25">
      <c r="A3" t="s">
        <v>192</v>
      </c>
      <c r="B3" s="12">
        <v>1343</v>
      </c>
      <c r="C3" s="10">
        <v>185763.55</v>
      </c>
      <c r="D3" s="10">
        <v>40777.36</v>
      </c>
      <c r="E3" s="10">
        <v>55974.01</v>
      </c>
      <c r="F3" s="10">
        <v>9026.03</v>
      </c>
      <c r="G3" s="10">
        <v>60148.62</v>
      </c>
    </row>
    <row r="4" spans="1:7" x14ac:dyDescent="0.25">
      <c r="A4" t="s">
        <v>193</v>
      </c>
      <c r="B4" s="12">
        <v>1630</v>
      </c>
      <c r="C4" s="10">
        <v>59881.49</v>
      </c>
      <c r="D4" s="10">
        <v>48993.94</v>
      </c>
      <c r="E4" s="10">
        <v>17726.22</v>
      </c>
      <c r="F4" s="10">
        <v>10502.27</v>
      </c>
      <c r="G4" s="10">
        <v>29821.64</v>
      </c>
    </row>
    <row r="5" spans="1:7" x14ac:dyDescent="0.25">
      <c r="A5" t="s">
        <v>194</v>
      </c>
      <c r="B5" s="12">
        <v>767</v>
      </c>
      <c r="C5" s="10">
        <v>41486.92</v>
      </c>
      <c r="D5" s="10">
        <v>67689.19</v>
      </c>
      <c r="E5" s="10">
        <v>12572.65</v>
      </c>
      <c r="F5" s="10">
        <v>14462.96</v>
      </c>
      <c r="G5" s="10">
        <v>29946.59</v>
      </c>
    </row>
    <row r="6" spans="1:7" x14ac:dyDescent="0.25">
      <c r="A6" t="s">
        <v>195</v>
      </c>
      <c r="B6" s="12">
        <v>671</v>
      </c>
      <c r="C6" s="10">
        <v>57151.64</v>
      </c>
      <c r="D6" s="10">
        <v>10085.58</v>
      </c>
      <c r="E6" s="10">
        <v>17015.49</v>
      </c>
      <c r="F6" s="10">
        <v>2225.96</v>
      </c>
      <c r="G6" s="10">
        <v>17975.12</v>
      </c>
    </row>
    <row r="7" spans="1:7" x14ac:dyDescent="0.25">
      <c r="A7" t="s">
        <v>196</v>
      </c>
      <c r="B7" s="12">
        <v>1151</v>
      </c>
      <c r="C7" s="10">
        <v>212356.79</v>
      </c>
      <c r="D7" s="10">
        <v>34569.71</v>
      </c>
      <c r="E7" s="10">
        <v>63848.26</v>
      </c>
      <c r="F7" s="10">
        <v>7454.02</v>
      </c>
      <c r="G7" s="10">
        <v>67906.96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4" customWidth="1"/>
    <col min="2" max="3" width="18" customWidth="1"/>
  </cols>
  <sheetData>
    <row r="1" spans="1:3" x14ac:dyDescent="0.25">
      <c r="A1" s="5" t="s">
        <v>197</v>
      </c>
      <c r="B1" s="5" t="s">
        <v>198</v>
      </c>
      <c r="C1" s="5" t="s">
        <v>199</v>
      </c>
    </row>
    <row r="2" spans="1:3" x14ac:dyDescent="0.25">
      <c r="A2" t="s">
        <v>171</v>
      </c>
      <c r="B2" s="10">
        <v>8.83</v>
      </c>
      <c r="C2" s="12">
        <v>403</v>
      </c>
    </row>
    <row r="3" spans="1:3" x14ac:dyDescent="0.25">
      <c r="A3" t="s">
        <v>200</v>
      </c>
      <c r="B3" s="10">
        <v>8.92</v>
      </c>
      <c r="C3" s="12">
        <v>261</v>
      </c>
    </row>
    <row r="4" spans="1:3" x14ac:dyDescent="0.25">
      <c r="A4" t="s">
        <v>201</v>
      </c>
      <c r="B4" s="10">
        <v>9.11</v>
      </c>
      <c r="C4" s="12">
        <v>167</v>
      </c>
    </row>
    <row r="5" spans="1:3" x14ac:dyDescent="0.25">
      <c r="A5" t="s">
        <v>172</v>
      </c>
      <c r="B5" s="10">
        <v>8.83</v>
      </c>
      <c r="C5" s="12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34" customWidth="1"/>
    <col min="2" max="4" width="18" customWidth="1"/>
  </cols>
  <sheetData>
    <row r="1" spans="1:1" x14ac:dyDescent="0.25">
      <c r="A1" s="15" t="s">
        <v>202</v>
      </c>
    </row>
    <row r="3" spans="1:4" x14ac:dyDescent="0.25">
      <c r="A3" s="5" t="s">
        <v>85</v>
      </c>
      <c r="B3" s="5" t="s">
        <v>203</v>
      </c>
      <c r="C3" s="5" t="s">
        <v>66</v>
      </c>
      <c r="D3" s="5" t="s">
        <v>140</v>
      </c>
    </row>
    <row r="4" spans="1:4" x14ac:dyDescent="0.25">
      <c r="A4" t="s">
        <v>204</v>
      </c>
      <c r="B4" s="12">
        <v>188</v>
      </c>
      <c r="C4" s="10">
        <v>89519.59</v>
      </c>
      <c r="D4" s="10">
        <v>248</v>
      </c>
    </row>
    <row r="5" spans="1:4" x14ac:dyDescent="0.25">
      <c r="A5" t="s">
        <v>205</v>
      </c>
      <c r="B5" s="12">
        <v>186</v>
      </c>
      <c r="C5" s="10">
        <v>89083.32</v>
      </c>
      <c r="D5" s="10">
        <v>248</v>
      </c>
    </row>
    <row r="6" spans="1:4" x14ac:dyDescent="0.25">
      <c r="A6" t="s">
        <v>206</v>
      </c>
      <c r="B6" s="12">
        <v>210</v>
      </c>
      <c r="C6" s="10">
        <v>99758.84</v>
      </c>
      <c r="D6" s="10">
        <v>248</v>
      </c>
    </row>
    <row r="7" spans="1:4" x14ac:dyDescent="0.25">
      <c r="A7" t="s">
        <v>207</v>
      </c>
      <c r="B7" s="12">
        <v>194</v>
      </c>
      <c r="C7" s="10">
        <v>92274.46</v>
      </c>
      <c r="D7" s="10">
        <v>248</v>
      </c>
    </row>
    <row r="8" spans="1:4" x14ac:dyDescent="0.25">
      <c r="A8" t="s">
        <v>208</v>
      </c>
      <c r="B8" s="12">
        <v>165</v>
      </c>
      <c r="C8" s="10">
        <v>77726.57</v>
      </c>
      <c r="D8" s="10">
        <v>248</v>
      </c>
    </row>
    <row r="9" spans="1:4" x14ac:dyDescent="0.25">
      <c r="A9" t="s">
        <v>209</v>
      </c>
      <c r="B9" s="12">
        <v>181</v>
      </c>
      <c r="C9" s="10">
        <v>89228.74</v>
      </c>
      <c r="D9" s="10">
        <v>248</v>
      </c>
    </row>
    <row r="10" spans="1:4" x14ac:dyDescent="0.25">
      <c r="A10" t="s">
        <v>210</v>
      </c>
      <c r="B10" s="12">
        <v>179</v>
      </c>
      <c r="C10" s="10">
        <v>88575.07</v>
      </c>
      <c r="D10" s="10">
        <v>248</v>
      </c>
    </row>
    <row r="11" spans="1:4" x14ac:dyDescent="0.25">
      <c r="A11" t="s">
        <v>211</v>
      </c>
      <c r="B11" s="12">
        <v>174</v>
      </c>
      <c r="C11" s="10">
        <v>82528.21</v>
      </c>
      <c r="D11" s="10">
        <v>248</v>
      </c>
    </row>
    <row r="12" spans="1:4" x14ac:dyDescent="0.25">
      <c r="A12" t="s">
        <v>212</v>
      </c>
      <c r="B12" s="12">
        <v>184</v>
      </c>
      <c r="C12" s="10">
        <v>90070.82</v>
      </c>
      <c r="D12" s="10">
        <v>248</v>
      </c>
    </row>
    <row r="13" spans="1:4" x14ac:dyDescent="0.25">
      <c r="A13" t="s">
        <v>213</v>
      </c>
      <c r="B13" s="12">
        <v>206</v>
      </c>
      <c r="C13" s="10">
        <v>97720.42</v>
      </c>
      <c r="D13" s="10">
        <v>248</v>
      </c>
    </row>
    <row r="14" spans="1:4" x14ac:dyDescent="0.25">
      <c r="A14" t="s">
        <v>214</v>
      </c>
      <c r="B14" s="12">
        <v>205</v>
      </c>
      <c r="C14" s="10">
        <v>99348.12</v>
      </c>
      <c r="D14" s="10">
        <v>248</v>
      </c>
    </row>
    <row r="15" spans="1:4" x14ac:dyDescent="0.25">
      <c r="A15" t="s">
        <v>215</v>
      </c>
      <c r="B15" s="12">
        <v>157</v>
      </c>
      <c r="C15" s="10">
        <v>74738.27</v>
      </c>
      <c r="D15" s="10">
        <v>248</v>
      </c>
    </row>
    <row r="16" spans="1:4" x14ac:dyDescent="0.25">
      <c r="A16" t="s">
        <v>216</v>
      </c>
      <c r="B16" s="12">
        <v>186</v>
      </c>
      <c r="C16" s="10">
        <v>89293.28</v>
      </c>
      <c r="D16" s="10">
        <v>248</v>
      </c>
    </row>
    <row r="17" spans="1:4" x14ac:dyDescent="0.25">
      <c r="A17" t="s">
        <v>217</v>
      </c>
      <c r="B17" s="12">
        <v>181</v>
      </c>
      <c r="C17" s="10">
        <v>85141.89</v>
      </c>
      <c r="D17" s="10">
        <v>248</v>
      </c>
    </row>
    <row r="18" spans="1:4" x14ac:dyDescent="0.25">
      <c r="A18" t="s">
        <v>218</v>
      </c>
      <c r="B18" s="12">
        <v>173</v>
      </c>
      <c r="C18" s="10">
        <v>82783.85</v>
      </c>
      <c r="D18" s="10">
        <v>248</v>
      </c>
    </row>
    <row r="19" spans="1:4" x14ac:dyDescent="0.25">
      <c r="A19" t="s">
        <v>219</v>
      </c>
      <c r="B19" s="12">
        <v>180</v>
      </c>
      <c r="C19" s="10">
        <v>87094.43</v>
      </c>
      <c r="D19" s="10">
        <v>248</v>
      </c>
    </row>
    <row r="20" spans="1:4" x14ac:dyDescent="0.25">
      <c r="A20" t="s">
        <v>220</v>
      </c>
      <c r="B20" s="12">
        <v>211</v>
      </c>
      <c r="C20" s="10">
        <v>100978.05</v>
      </c>
      <c r="D20" s="10">
        <v>248</v>
      </c>
    </row>
    <row r="21" spans="1:4" x14ac:dyDescent="0.25">
      <c r="A21" t="s">
        <v>221</v>
      </c>
      <c r="B21" s="12">
        <v>199</v>
      </c>
      <c r="C21" s="10">
        <v>94985.02</v>
      </c>
      <c r="D21" s="10">
        <v>248</v>
      </c>
    </row>
    <row r="22" spans="1:4" x14ac:dyDescent="0.25">
      <c r="A22" t="s">
        <v>222</v>
      </c>
      <c r="B22" s="12">
        <v>164</v>
      </c>
      <c r="C22" s="10">
        <v>78124.96</v>
      </c>
      <c r="D22" s="10">
        <v>248</v>
      </c>
    </row>
    <row r="23" spans="1:4" x14ac:dyDescent="0.25">
      <c r="A23" t="s">
        <v>223</v>
      </c>
      <c r="B23" s="12">
        <v>183</v>
      </c>
      <c r="C23" s="10">
        <v>86994.25</v>
      </c>
      <c r="D23" s="10">
        <v>248</v>
      </c>
    </row>
    <row r="24" spans="1:4" x14ac:dyDescent="0.25">
      <c r="A24" t="s">
        <v>224</v>
      </c>
      <c r="B24" s="12">
        <v>184</v>
      </c>
      <c r="C24" s="10">
        <v>87990.07</v>
      </c>
      <c r="D24" s="10">
        <v>248</v>
      </c>
    </row>
    <row r="25" spans="1:4" x14ac:dyDescent="0.25">
      <c r="A25" t="s">
        <v>225</v>
      </c>
      <c r="B25" s="12">
        <v>172</v>
      </c>
      <c r="C25" s="10">
        <v>85553.74</v>
      </c>
      <c r="D25" s="10">
        <v>248</v>
      </c>
    </row>
    <row r="26" spans="1:4" x14ac:dyDescent="0.25">
      <c r="A26" t="s">
        <v>226</v>
      </c>
      <c r="B26" s="12">
        <v>185</v>
      </c>
      <c r="C26" s="10">
        <v>89145.23</v>
      </c>
      <c r="D26" s="10">
        <v>248</v>
      </c>
    </row>
    <row r="27" spans="1:4" x14ac:dyDescent="0.25">
      <c r="A27" t="s">
        <v>227</v>
      </c>
      <c r="B27" s="12">
        <v>207</v>
      </c>
      <c r="C27" s="10">
        <v>98138.85</v>
      </c>
      <c r="D27" s="10">
        <v>248</v>
      </c>
    </row>
    <row r="28" spans="1:4" x14ac:dyDescent="0.25">
      <c r="A28" t="s">
        <v>228</v>
      </c>
      <c r="B28" s="12">
        <v>198</v>
      </c>
      <c r="C28" s="10">
        <v>96476.43</v>
      </c>
      <c r="D28" s="10">
        <v>248</v>
      </c>
    </row>
    <row r="29" spans="1:4" x14ac:dyDescent="0.25">
      <c r="A29" t="s">
        <v>229</v>
      </c>
      <c r="B29" s="12">
        <v>158</v>
      </c>
      <c r="C29" s="10">
        <v>77073.8</v>
      </c>
      <c r="D29" s="10">
        <v>248</v>
      </c>
    </row>
    <row r="30" spans="1:4" x14ac:dyDescent="0.25">
      <c r="A30" t="s">
        <v>230</v>
      </c>
      <c r="B30" s="12">
        <v>173</v>
      </c>
      <c r="C30" s="10">
        <v>85049.12</v>
      </c>
      <c r="D30" s="10">
        <v>248</v>
      </c>
    </row>
    <row r="31" spans="1:4" x14ac:dyDescent="0.25">
      <c r="A31" t="s">
        <v>231</v>
      </c>
      <c r="B31" s="12">
        <v>173</v>
      </c>
      <c r="C31" s="10">
        <v>83363.62</v>
      </c>
      <c r="D31" s="10">
        <v>248</v>
      </c>
    </row>
    <row r="32" spans="1:4" x14ac:dyDescent="0.25">
      <c r="A32" t="s">
        <v>232</v>
      </c>
      <c r="B32" s="12">
        <v>173</v>
      </c>
      <c r="C32" s="10">
        <v>84962.67</v>
      </c>
      <c r="D32" s="10">
        <v>248</v>
      </c>
    </row>
    <row r="33" spans="1:4" x14ac:dyDescent="0.25">
      <c r="A33" t="s">
        <v>233</v>
      </c>
      <c r="B33" s="12">
        <v>181</v>
      </c>
      <c r="C33" s="10">
        <v>96665.98</v>
      </c>
      <c r="D33" s="10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18" customWidth="1"/>
    <col min="2" max="2" width="14" customWidth="1"/>
    <col min="3" max="3" width="16" customWidth="1"/>
  </cols>
  <sheetData>
    <row r="1" spans="1:1" x14ac:dyDescent="0.25">
      <c r="A1" s="14" t="s">
        <v>234</v>
      </c>
    </row>
    <row r="3" spans="1:3" x14ac:dyDescent="0.25">
      <c r="A3" s="5" t="s">
        <v>235</v>
      </c>
      <c r="B3" s="5" t="s">
        <v>235</v>
      </c>
      <c r="C3" s="5" t="s">
        <v>204</v>
      </c>
    </row>
    <row r="4" spans="1:3" x14ac:dyDescent="0.25">
      <c r="A4" t="s">
        <v>236</v>
      </c>
      <c r="B4" t="s">
        <v>237</v>
      </c>
      <c r="C4" s="12">
        <v>739</v>
      </c>
    </row>
    <row r="5" spans="1:3" x14ac:dyDescent="0.25">
      <c r="A5" t="s">
        <v>236</v>
      </c>
      <c r="B5" t="s">
        <v>238</v>
      </c>
      <c r="C5" s="12">
        <v>4771</v>
      </c>
    </row>
    <row r="6" spans="1:3" x14ac:dyDescent="0.25">
      <c r="A6" t="s">
        <v>236</v>
      </c>
      <c r="B6" t="s">
        <v>236</v>
      </c>
      <c r="C6">
        <v>5510</v>
      </c>
    </row>
    <row r="9" spans="1:3" x14ac:dyDescent="0.25">
      <c r="A9" s="5" t="s">
        <v>239</v>
      </c>
      <c r="B9" s="5" t="s">
        <v>239</v>
      </c>
      <c r="C9" s="5" t="s">
        <v>204</v>
      </c>
    </row>
    <row r="10" spans="1:3" x14ac:dyDescent="0.25">
      <c r="A10" t="s">
        <v>236</v>
      </c>
      <c r="B10" t="s">
        <v>237</v>
      </c>
      <c r="C10" s="10">
        <v>256897.96</v>
      </c>
    </row>
    <row r="11" spans="1:3" x14ac:dyDescent="0.25">
      <c r="A11" t="s">
        <v>236</v>
      </c>
      <c r="B11" t="s">
        <v>238</v>
      </c>
      <c r="C11" s="10">
        <v>2403489.73</v>
      </c>
    </row>
    <row r="12" spans="1:3" x14ac:dyDescent="0.25">
      <c r="A12" t="s">
        <v>236</v>
      </c>
      <c r="B12" t="s">
        <v>236</v>
      </c>
      <c r="C12">
        <v>2660387.69</v>
      </c>
    </row>
    <row r="16" spans="1:1" x14ac:dyDescent="0.25">
      <c r="A16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16" customWidth="1"/>
  </cols>
  <sheetData>
    <row r="1" spans="1:1" x14ac:dyDescent="0.25">
      <c r="A1" s="14" t="s">
        <v>241</v>
      </c>
    </row>
    <row r="4" spans="1:9" x14ac:dyDescent="0.25">
      <c r="A4" s="5" t="s">
        <v>85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246</v>
      </c>
      <c r="G4" s="5" t="s">
        <v>247</v>
      </c>
      <c r="H4" s="5" t="s">
        <v>248</v>
      </c>
      <c r="I4" s="5" t="s">
        <v>249</v>
      </c>
    </row>
    <row r="5" spans="1:1" x14ac:dyDescent="0.25">
      <c r="A5" t="s">
        <v>204</v>
      </c>
    </row>
    <row r="6" spans="1:9" x14ac:dyDescent="0.25">
      <c r="A6" t="s">
        <v>236</v>
      </c>
      <c r="B6" t="s">
        <v>236</v>
      </c>
      <c r="D6">
        <v>9590</v>
      </c>
      <c r="E6" t="s">
        <v>250</v>
      </c>
      <c r="H6">
        <v>639</v>
      </c>
      <c r="I6">
        <v>0.067</v>
      </c>
    </row>
    <row r="8" spans="1:1" x14ac:dyDescent="0.25">
      <c r="A8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2" width="14" customWidth="1"/>
    <col min="3" max="3" width="46" customWidth="1"/>
    <col min="4" max="4" width="18" customWidth="1"/>
  </cols>
  <sheetData>
    <row r="1" spans="1:5" x14ac:dyDescent="0.25">
      <c r="A1" s="5" t="s">
        <v>252</v>
      </c>
      <c r="B1" s="5" t="s">
        <v>253</v>
      </c>
      <c r="C1" s="5" t="s">
        <v>254</v>
      </c>
      <c r="D1" s="5" t="s">
        <v>255</v>
      </c>
      <c r="E1" s="5" t="s">
        <v>256</v>
      </c>
    </row>
    <row r="2" spans="1:5" x14ac:dyDescent="0.25">
      <c r="A2">
        <v>7000001</v>
      </c>
      <c r="B2" t="s">
        <v>257</v>
      </c>
      <c r="C2" t="s">
        <v>258</v>
      </c>
      <c r="D2" t="s">
        <v>1</v>
      </c>
      <c r="E2" t="s">
        <v>259</v>
      </c>
    </row>
    <row r="3" spans="1:5" x14ac:dyDescent="0.25">
      <c r="A3">
        <v>7000002</v>
      </c>
      <c r="B3" t="s">
        <v>257</v>
      </c>
      <c r="C3" t="s">
        <v>258</v>
      </c>
      <c r="D3" t="s">
        <v>1</v>
      </c>
      <c r="E3" t="s">
        <v>259</v>
      </c>
    </row>
    <row r="4" spans="1:5" x14ac:dyDescent="0.25">
      <c r="A4">
        <v>7000003</v>
      </c>
      <c r="B4" t="s">
        <v>257</v>
      </c>
      <c r="C4" t="s">
        <v>258</v>
      </c>
      <c r="D4" t="s">
        <v>1</v>
      </c>
      <c r="E4" t="s">
        <v>259</v>
      </c>
    </row>
    <row r="5" spans="1:5" x14ac:dyDescent="0.25">
      <c r="A5">
        <v>7000004</v>
      </c>
      <c r="B5" t="s">
        <v>257</v>
      </c>
      <c r="C5" t="s">
        <v>258</v>
      </c>
      <c r="D5" t="s">
        <v>1</v>
      </c>
      <c r="E5" t="s">
        <v>259</v>
      </c>
    </row>
    <row r="6" spans="1:5" x14ac:dyDescent="0.25">
      <c r="A6">
        <v>7000005</v>
      </c>
      <c r="B6" t="s">
        <v>257</v>
      </c>
      <c r="C6" t="s">
        <v>258</v>
      </c>
      <c r="D6" t="s">
        <v>1</v>
      </c>
      <c r="E6" t="s">
        <v>259</v>
      </c>
    </row>
    <row r="7" spans="1:5" x14ac:dyDescent="0.25">
      <c r="A7">
        <v>7000006</v>
      </c>
      <c r="B7" t="s">
        <v>257</v>
      </c>
      <c r="C7" t="s">
        <v>258</v>
      </c>
      <c r="D7" t="s">
        <v>1</v>
      </c>
      <c r="E7" t="s">
        <v>259</v>
      </c>
    </row>
    <row r="8" spans="1:5" x14ac:dyDescent="0.25">
      <c r="A8">
        <v>7000007</v>
      </c>
      <c r="B8" t="s">
        <v>257</v>
      </c>
      <c r="C8" t="s">
        <v>260</v>
      </c>
      <c r="D8" t="s">
        <v>1</v>
      </c>
      <c r="E8" t="s">
        <v>259</v>
      </c>
    </row>
    <row r="9" spans="1:5" x14ac:dyDescent="0.25">
      <c r="A9">
        <v>7000008</v>
      </c>
      <c r="B9" t="s">
        <v>257</v>
      </c>
      <c r="C9" t="s">
        <v>260</v>
      </c>
      <c r="D9" t="s">
        <v>1</v>
      </c>
      <c r="E9" t="s">
        <v>259</v>
      </c>
    </row>
    <row r="10" spans="1:5" x14ac:dyDescent="0.25">
      <c r="A10">
        <v>7000009</v>
      </c>
      <c r="B10" t="s">
        <v>257</v>
      </c>
      <c r="C10" t="s">
        <v>260</v>
      </c>
      <c r="D10" t="s">
        <v>1</v>
      </c>
      <c r="E10" t="s">
        <v>259</v>
      </c>
    </row>
    <row r="11" spans="1:5" x14ac:dyDescent="0.25">
      <c r="A11">
        <v>7000010</v>
      </c>
      <c r="B11" t="s">
        <v>257</v>
      </c>
      <c r="C11" t="s">
        <v>260</v>
      </c>
      <c r="D11" t="s">
        <v>1</v>
      </c>
      <c r="E11" t="s">
        <v>259</v>
      </c>
    </row>
    <row r="12" spans="1:5" x14ac:dyDescent="0.25">
      <c r="A12">
        <v>7000011</v>
      </c>
      <c r="B12" t="s">
        <v>257</v>
      </c>
      <c r="C12" t="s">
        <v>260</v>
      </c>
      <c r="D12" t="s">
        <v>1</v>
      </c>
      <c r="E12" t="s">
        <v>259</v>
      </c>
    </row>
    <row r="13" spans="1:5" x14ac:dyDescent="0.25">
      <c r="A13">
        <v>7000012</v>
      </c>
      <c r="B13" t="s">
        <v>257</v>
      </c>
      <c r="C13" t="s">
        <v>260</v>
      </c>
      <c r="D13" t="s">
        <v>1</v>
      </c>
      <c r="E13" t="s">
        <v>259</v>
      </c>
    </row>
    <row r="14" spans="1:5" x14ac:dyDescent="0.25">
      <c r="A14">
        <v>7000013</v>
      </c>
      <c r="B14" t="s">
        <v>257</v>
      </c>
      <c r="C14" t="s">
        <v>260</v>
      </c>
      <c r="D14" t="s">
        <v>1</v>
      </c>
      <c r="E14" t="s">
        <v>259</v>
      </c>
    </row>
    <row r="15" spans="1:5" x14ac:dyDescent="0.25">
      <c r="A15">
        <v>7000014</v>
      </c>
      <c r="B15" t="s">
        <v>257</v>
      </c>
      <c r="C15" t="s">
        <v>260</v>
      </c>
      <c r="D15" t="s">
        <v>1</v>
      </c>
      <c r="E15" t="s">
        <v>259</v>
      </c>
    </row>
    <row r="16" spans="1:5" x14ac:dyDescent="0.25">
      <c r="A16">
        <v>7000015</v>
      </c>
      <c r="B16" t="s">
        <v>257</v>
      </c>
      <c r="C16" t="s">
        <v>261</v>
      </c>
      <c r="D16" t="s">
        <v>1</v>
      </c>
      <c r="E16" t="s">
        <v>259</v>
      </c>
    </row>
    <row r="17" spans="1:5" x14ac:dyDescent="0.25">
      <c r="A17">
        <v>7000016</v>
      </c>
      <c r="B17" t="s">
        <v>257</v>
      </c>
      <c r="C17" t="s">
        <v>261</v>
      </c>
      <c r="D17" t="s">
        <v>1</v>
      </c>
      <c r="E17" t="s">
        <v>259</v>
      </c>
    </row>
    <row r="18" spans="1:5" x14ac:dyDescent="0.25">
      <c r="A18">
        <v>7000017</v>
      </c>
      <c r="B18" t="s">
        <v>257</v>
      </c>
      <c r="C18" t="s">
        <v>261</v>
      </c>
      <c r="D18" t="s">
        <v>1</v>
      </c>
      <c r="E18" t="s">
        <v>259</v>
      </c>
    </row>
    <row r="19" spans="1:5" x14ac:dyDescent="0.25">
      <c r="A19">
        <v>7000018</v>
      </c>
      <c r="B19" t="s">
        <v>257</v>
      </c>
      <c r="C19" t="s">
        <v>261</v>
      </c>
      <c r="D19" t="s">
        <v>1</v>
      </c>
      <c r="E19" t="s">
        <v>259</v>
      </c>
    </row>
    <row r="20" spans="1:5" x14ac:dyDescent="0.25">
      <c r="A20">
        <v>7000019</v>
      </c>
      <c r="B20" t="s">
        <v>257</v>
      </c>
      <c r="C20" t="s">
        <v>261</v>
      </c>
      <c r="D20" t="s">
        <v>1</v>
      </c>
      <c r="E20" t="s">
        <v>259</v>
      </c>
    </row>
    <row r="21" spans="1:5" x14ac:dyDescent="0.25">
      <c r="A21">
        <v>7000020</v>
      </c>
      <c r="B21" t="s">
        <v>257</v>
      </c>
      <c r="C21" t="s">
        <v>262</v>
      </c>
      <c r="D21" t="s">
        <v>1</v>
      </c>
      <c r="E21" t="s">
        <v>259</v>
      </c>
    </row>
    <row r="22" spans="1:5" x14ac:dyDescent="0.25">
      <c r="A22">
        <v>7000021</v>
      </c>
      <c r="B22" t="s">
        <v>257</v>
      </c>
      <c r="C22" t="s">
        <v>262</v>
      </c>
      <c r="D22" t="s">
        <v>1</v>
      </c>
      <c r="E22" t="s">
        <v>259</v>
      </c>
    </row>
    <row r="23" spans="1:5" x14ac:dyDescent="0.25">
      <c r="A23">
        <v>7000022</v>
      </c>
      <c r="B23" t="s">
        <v>257</v>
      </c>
      <c r="C23" t="s">
        <v>262</v>
      </c>
      <c r="D23" t="s">
        <v>1</v>
      </c>
      <c r="E23" t="s">
        <v>259</v>
      </c>
    </row>
    <row r="24" spans="1:5" x14ac:dyDescent="0.25">
      <c r="A24">
        <v>7000023</v>
      </c>
      <c r="B24" t="s">
        <v>257</v>
      </c>
      <c r="C24" t="s">
        <v>262</v>
      </c>
      <c r="D24" t="s">
        <v>1</v>
      </c>
      <c r="E24" t="s">
        <v>259</v>
      </c>
    </row>
    <row r="25" spans="1:5" x14ac:dyDescent="0.25">
      <c r="A25">
        <v>7000024</v>
      </c>
      <c r="B25" t="s">
        <v>257</v>
      </c>
      <c r="C25" t="s">
        <v>263</v>
      </c>
      <c r="D25" t="s">
        <v>1</v>
      </c>
      <c r="E25" t="s">
        <v>259</v>
      </c>
    </row>
    <row r="26" spans="1:5" x14ac:dyDescent="0.25">
      <c r="A26">
        <v>7000025</v>
      </c>
      <c r="B26" t="s">
        <v>257</v>
      </c>
      <c r="C26" t="s">
        <v>263</v>
      </c>
      <c r="D26" t="s">
        <v>1</v>
      </c>
      <c r="E26" t="s">
        <v>259</v>
      </c>
    </row>
    <row r="27" spans="1:5" x14ac:dyDescent="0.25">
      <c r="A27">
        <v>7000026</v>
      </c>
      <c r="B27" t="s">
        <v>257</v>
      </c>
      <c r="C27" t="s">
        <v>263</v>
      </c>
      <c r="D27" t="s">
        <v>1</v>
      </c>
      <c r="E27" t="s">
        <v>259</v>
      </c>
    </row>
    <row r="28" spans="1:5" x14ac:dyDescent="0.25">
      <c r="A28">
        <v>7000027</v>
      </c>
      <c r="B28" t="s">
        <v>257</v>
      </c>
      <c r="C28" t="s">
        <v>263</v>
      </c>
      <c r="D28" t="s">
        <v>1</v>
      </c>
      <c r="E28" t="s">
        <v>259</v>
      </c>
    </row>
    <row r="29" spans="1:5" x14ac:dyDescent="0.25">
      <c r="A29">
        <v>7000028</v>
      </c>
      <c r="B29" t="s">
        <v>257</v>
      </c>
      <c r="C29" t="s">
        <v>263</v>
      </c>
      <c r="D29" t="s">
        <v>1</v>
      </c>
      <c r="E29" t="s">
        <v>259</v>
      </c>
    </row>
    <row r="30" spans="1:5" x14ac:dyDescent="0.25">
      <c r="A30">
        <v>7000029</v>
      </c>
      <c r="B30" t="s">
        <v>257</v>
      </c>
      <c r="C30" t="s">
        <v>263</v>
      </c>
      <c r="D30" t="s">
        <v>1</v>
      </c>
      <c r="E30" t="s">
        <v>259</v>
      </c>
    </row>
    <row r="31" spans="1:5" x14ac:dyDescent="0.25">
      <c r="A31">
        <v>7000030</v>
      </c>
      <c r="B31" t="s">
        <v>257</v>
      </c>
      <c r="C31" t="s">
        <v>264</v>
      </c>
      <c r="D31" t="s">
        <v>1</v>
      </c>
      <c r="E31" t="s">
        <v>259</v>
      </c>
    </row>
    <row r="32" spans="1:5" x14ac:dyDescent="0.25">
      <c r="A32">
        <v>7000031</v>
      </c>
      <c r="B32" t="s">
        <v>257</v>
      </c>
      <c r="C32" t="s">
        <v>264</v>
      </c>
      <c r="D32" t="s">
        <v>1</v>
      </c>
      <c r="E32" t="s">
        <v>259</v>
      </c>
    </row>
    <row r="33" spans="1:5" x14ac:dyDescent="0.25">
      <c r="A33">
        <v>7000032</v>
      </c>
      <c r="B33" t="s">
        <v>257</v>
      </c>
      <c r="C33" t="s">
        <v>264</v>
      </c>
      <c r="D33" t="s">
        <v>1</v>
      </c>
      <c r="E33" t="s">
        <v>259</v>
      </c>
    </row>
    <row r="34" spans="1:5" x14ac:dyDescent="0.25">
      <c r="A34">
        <v>7000033</v>
      </c>
      <c r="B34" t="s">
        <v>257</v>
      </c>
      <c r="C34" t="s">
        <v>265</v>
      </c>
      <c r="D34" t="s">
        <v>1</v>
      </c>
      <c r="E34" t="s">
        <v>259</v>
      </c>
    </row>
    <row r="35" spans="1:5" x14ac:dyDescent="0.25">
      <c r="A35">
        <v>7000034</v>
      </c>
      <c r="B35" t="s">
        <v>257</v>
      </c>
      <c r="C35" t="s">
        <v>265</v>
      </c>
      <c r="D35" t="s">
        <v>1</v>
      </c>
      <c r="E35" t="s">
        <v>259</v>
      </c>
    </row>
    <row r="36" spans="1:5" x14ac:dyDescent="0.25">
      <c r="A36">
        <v>7000035</v>
      </c>
      <c r="B36" t="s">
        <v>257</v>
      </c>
      <c r="C36" t="s">
        <v>266</v>
      </c>
      <c r="D36" t="s">
        <v>1</v>
      </c>
      <c r="E36" t="s">
        <v>259</v>
      </c>
    </row>
    <row r="37" spans="1:5" x14ac:dyDescent="0.25">
      <c r="A37">
        <v>7000036</v>
      </c>
      <c r="B37" t="s">
        <v>257</v>
      </c>
      <c r="C37" t="s">
        <v>266</v>
      </c>
      <c r="D37" t="s">
        <v>1</v>
      </c>
      <c r="E37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6" customWidth="1"/>
    <col min="2" max="4" width="20" customWidth="1"/>
  </cols>
  <sheetData>
    <row r="1" spans="1:1" x14ac:dyDescent="0.25">
      <c r="A1" s="14" t="s">
        <v>267</v>
      </c>
    </row>
    <row r="2" spans="1:1" x14ac:dyDescent="0.25">
      <c r="A2" t="s">
        <v>268</v>
      </c>
    </row>
    <row r="4" spans="1:4" x14ac:dyDescent="0.25">
      <c r="A4" t="s">
        <v>1</v>
      </c>
      <c r="B4" s="5" t="s">
        <v>269</v>
      </c>
      <c r="C4" s="5" t="s">
        <v>270</v>
      </c>
      <c r="D4" s="5" t="s">
        <v>271</v>
      </c>
    </row>
    <row r="5" spans="1:2" x14ac:dyDescent="0.25">
      <c r="A5" t="s">
        <v>272</v>
      </c>
      <c r="B5" s="10">
        <v>1801338.53</v>
      </c>
    </row>
    <row r="6" spans="1:2" x14ac:dyDescent="0.25">
      <c r="A6" t="s">
        <v>273</v>
      </c>
      <c r="B6" s="10">
        <v>1217431.94</v>
      </c>
    </row>
    <row r="7" spans="1:2" x14ac:dyDescent="0.25">
      <c r="A7" t="s">
        <v>274</v>
      </c>
      <c r="B7" s="10">
        <v>306227.55</v>
      </c>
    </row>
    <row r="8" spans="1:2" x14ac:dyDescent="0.25">
      <c r="A8" t="s">
        <v>275</v>
      </c>
      <c r="B8" s="10">
        <v>166607.42</v>
      </c>
    </row>
    <row r="9" spans="1:2" x14ac:dyDescent="0.25">
      <c r="A9" t="s">
        <v>276</v>
      </c>
      <c r="B9" s="10">
        <v>111071.61</v>
      </c>
    </row>
    <row r="10" spans="1:2" x14ac:dyDescent="0.25">
      <c r="A10" t="s">
        <v>277</v>
      </c>
      <c r="B10" s="10">
        <v>1168325.83</v>
      </c>
    </row>
    <row r="11" spans="1:2" x14ac:dyDescent="0.25">
      <c r="A11" t="s">
        <v>278</v>
      </c>
      <c r="B11" s="10">
        <v>101107.84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6" customWidth="1"/>
    <col min="2" max="2" width="18" customWidth="1"/>
  </cols>
  <sheetData>
    <row r="1" spans="1:2" x14ac:dyDescent="0.25">
      <c r="A1" t="s">
        <v>1</v>
      </c>
      <c r="B1" s="5" t="s">
        <v>22</v>
      </c>
    </row>
    <row r="2" spans="1:2" x14ac:dyDescent="0.25">
      <c r="A2" t="s">
        <v>279</v>
      </c>
      <c r="B2">
        <v>8.78</v>
      </c>
    </row>
    <row r="3" spans="1:2" x14ac:dyDescent="0.25">
      <c r="A3" t="s">
        <v>280</v>
      </c>
      <c r="B3">
        <v>1000</v>
      </c>
    </row>
    <row r="4" spans="1:2" x14ac:dyDescent="0.25">
      <c r="A4" t="s">
        <v>281</v>
      </c>
      <c r="B4">
        <v>5726.91</v>
      </c>
    </row>
    <row r="5" spans="1:2" x14ac:dyDescent="0.25">
      <c r="A5" t="s">
        <v>282</v>
      </c>
      <c r="B5">
        <v>787394</v>
      </c>
    </row>
    <row r="6" spans="1:2" x14ac:dyDescent="0.25">
      <c r="A6" t="s">
        <v>283</v>
      </c>
      <c r="B6">
        <v>13414.62</v>
      </c>
    </row>
    <row r="7" spans="1:2" x14ac:dyDescent="0.25">
      <c r="A7" t="s">
        <v>284</v>
      </c>
      <c r="B7">
        <v>37520</v>
      </c>
    </row>
    <row r="8" spans="1:2" x14ac:dyDescent="0.25">
      <c r="A8" t="s">
        <v>285</v>
      </c>
      <c r="B8">
        <v>786</v>
      </c>
    </row>
    <row r="9" spans="1:2" x14ac:dyDescent="0.25">
      <c r="A9" t="s">
        <v>286</v>
      </c>
      <c r="B9">
        <v>444401.71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 ME</vt:lpstr>
      <vt:lpstr>P&amp;L DEPT</vt:lpstr>
      <vt:lpstr>Manager Flash</vt:lpstr>
      <vt:lpstr>STR Monthly</vt:lpstr>
      <vt:lpstr>STR Daily</vt:lpstr>
      <vt:lpstr>PAYROLL SUMMARY MTD</vt:lpstr>
      <vt:lpstr>HR STATISTICS</vt:lpstr>
      <vt:lpstr>MKTSEG</vt:lpstr>
      <vt:lpstr>CHANNELS</vt:lpstr>
      <vt:lpstr>Long Stay Contracts</vt:lpstr>
      <vt:lpstr>F&amp;B Outlets</vt:lpstr>
      <vt:lpstr>Reviews</vt:lpstr>
      <vt:lpstr>History &amp; Forecast</vt:lpstr>
      <vt:lpstr>Apartments</vt:lpstr>
      <vt:lpstr>Food Waste Tracker</vt:lpstr>
      <vt:lpstr>Guest Glitches</vt:lpstr>
      <vt:lpstr>Balance Sheet</vt:lpstr>
      <vt:lpstr>Other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HotelPulse AI</dc:creator>
  <dc:title/>
  <dc:subject/>
  <dc:description/>
  <cp:keywords/>
  <cp:category/>
  <cp:lastModifiedBy>Unknown</cp:lastModifiedBy>
  <dcterms:created xsi:type="dcterms:W3CDTF">2026-10-08T22:02:48Z</dcterms:created>
  <dcterms:modified xsi:type="dcterms:W3CDTF">2026-10-08T22:02:48Z</dcterms:modified>
</cp:coreProperties>
</file>